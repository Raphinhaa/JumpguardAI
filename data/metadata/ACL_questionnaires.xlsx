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N:\Data\2024_data_paper_Maite\Figshare\"/>
    </mc:Choice>
  </mc:AlternateContent>
  <xr:revisionPtr revIDLastSave="0" documentId="13_ncr:1_{1927035F-C7A1-49A7-85F9-CB6F137B47D8}" xr6:coauthVersionLast="36" xr6:coauthVersionMax="47" xr10:uidLastSave="{00000000-0000-0000-0000-000000000000}"/>
  <bookViews>
    <workbookView xWindow="0" yWindow="0" windowWidth="28140" windowHeight="13635" xr2:uid="{F9FC6605-3DAC-46C5-9304-BE7B06F0D81F}"/>
  </bookViews>
  <sheets>
    <sheet name="IKDC" sheetId="1" r:id="rId1"/>
    <sheet name="ACL-RSI" sheetId="2" r:id="rId2"/>
    <sheet name="Tampa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M2" i="1"/>
  <c r="M7" i="3"/>
  <c r="M22" i="3" l="1"/>
  <c r="M21" i="3"/>
  <c r="M20" i="3"/>
  <c r="M19" i="3"/>
  <c r="M18" i="3"/>
  <c r="M17" i="3"/>
  <c r="M16" i="3"/>
  <c r="M15" i="3"/>
  <c r="M14" i="3"/>
  <c r="M13" i="3"/>
  <c r="M12" i="3"/>
  <c r="M11" i="3"/>
  <c r="M10" i="3"/>
  <c r="M3" i="3"/>
  <c r="M4" i="3"/>
  <c r="M5" i="3"/>
  <c r="M6" i="3"/>
  <c r="M8" i="3"/>
  <c r="M9" i="3"/>
  <c r="M2" i="3"/>
  <c r="O21" i="2"/>
  <c r="N18" i="2"/>
  <c r="O18" i="2" s="1"/>
  <c r="N19" i="2"/>
  <c r="O19" i="2" s="1"/>
  <c r="N20" i="2"/>
  <c r="O20" i="2" s="1"/>
  <c r="N21" i="2"/>
  <c r="N22" i="2"/>
  <c r="O22" i="2" s="1"/>
  <c r="N17" i="2"/>
  <c r="O17" i="2" s="1"/>
  <c r="N16" i="2"/>
  <c r="O16" i="2" s="1"/>
  <c r="N15" i="2"/>
  <c r="O15" i="2" s="1"/>
  <c r="N14" i="2"/>
  <c r="O14" i="2" s="1"/>
  <c r="N13" i="2"/>
  <c r="O13" i="2" s="1"/>
  <c r="N12" i="2"/>
  <c r="O12" i="2" s="1"/>
  <c r="N11" i="2"/>
  <c r="O11" i="2" s="1"/>
  <c r="N10" i="2"/>
  <c r="O10" i="2" s="1"/>
  <c r="N9" i="2"/>
  <c r="O9" i="2" s="1"/>
  <c r="N8" i="2"/>
  <c r="O8" i="2" s="1"/>
  <c r="N7" i="2"/>
  <c r="O7" i="2" s="1"/>
  <c r="N6" i="2"/>
  <c r="O6" i="2" s="1"/>
  <c r="N5" i="2"/>
  <c r="O5" i="2" s="1"/>
  <c r="N4" i="2"/>
  <c r="O4" i="2" s="1"/>
  <c r="N3" i="2"/>
  <c r="O3" i="2" s="1"/>
  <c r="N2" i="2"/>
  <c r="O2" i="2" s="1"/>
  <c r="L22" i="1"/>
  <c r="M22" i="1" s="1"/>
  <c r="L21" i="1"/>
  <c r="M21" i="1" s="1"/>
  <c r="L20" i="1"/>
  <c r="M20" i="1"/>
  <c r="L19" i="1"/>
  <c r="M19" i="1" s="1"/>
  <c r="L18" i="1"/>
  <c r="M18" i="1" s="1"/>
  <c r="L17" i="1"/>
  <c r="M17" i="1" s="1"/>
  <c r="L16" i="1"/>
  <c r="M16" i="1" s="1"/>
  <c r="L15" i="1"/>
  <c r="M15" i="1" s="1"/>
  <c r="L14" i="1"/>
  <c r="M14" i="1" s="1"/>
  <c r="L13" i="1"/>
  <c r="M13" i="1" s="1"/>
  <c r="L12" i="1"/>
  <c r="M12" i="1" s="1"/>
  <c r="L11" i="1"/>
  <c r="M11" i="1" s="1"/>
  <c r="L10" i="1"/>
  <c r="M10" i="1" s="1"/>
  <c r="L9" i="1"/>
  <c r="M9" i="1" s="1"/>
  <c r="L8" i="1"/>
  <c r="M8" i="1" s="1"/>
  <c r="L7" i="1"/>
  <c r="M7" i="1" s="1"/>
  <c r="L5" i="1"/>
  <c r="M5" i="1" s="1"/>
  <c r="L6" i="1"/>
  <c r="M6" i="1" s="1"/>
  <c r="L4" i="1"/>
  <c r="M4" i="1" s="1"/>
  <c r="L2" i="1"/>
  <c r="L3" i="1"/>
  <c r="M24" i="1" l="1"/>
  <c r="M25" i="1"/>
  <c r="M25" i="3"/>
  <c r="M24" i="3"/>
  <c r="O24" i="2"/>
  <c r="O25" i="2"/>
</calcChain>
</file>

<file path=xl/sharedStrings.xml><?xml version="1.0" encoding="utf-8"?>
<sst xmlns="http://schemas.openxmlformats.org/spreadsheetml/2006/main" count="146" uniqueCount="75">
  <si>
    <t>sub11</t>
  </si>
  <si>
    <t>sub12</t>
  </si>
  <si>
    <t>sub13</t>
  </si>
  <si>
    <t xml:space="preserve">sub18 </t>
  </si>
  <si>
    <t>sub20</t>
  </si>
  <si>
    <t xml:space="preserve">sub25 </t>
  </si>
  <si>
    <t xml:space="preserve">sub27 </t>
  </si>
  <si>
    <t xml:space="preserve">sub29 </t>
  </si>
  <si>
    <t>sub31</t>
  </si>
  <si>
    <t>sub32</t>
  </si>
  <si>
    <t xml:space="preserve">sub33 </t>
  </si>
  <si>
    <t>sub35</t>
  </si>
  <si>
    <t>sub36</t>
  </si>
  <si>
    <t>sub37</t>
  </si>
  <si>
    <t>sub38</t>
  </si>
  <si>
    <t>sub39</t>
  </si>
  <si>
    <t>sub40</t>
  </si>
  <si>
    <t>sub41</t>
  </si>
  <si>
    <t>sub42</t>
  </si>
  <si>
    <t>sub43</t>
  </si>
  <si>
    <t xml:space="preserve">sub44 </t>
  </si>
  <si>
    <t>Participant</t>
  </si>
  <si>
    <t>Standardisation [%]</t>
  </si>
  <si>
    <t>1. Are you confident that you can perform at your previous level of sport participation? (0-100)</t>
  </si>
  <si>
    <t>2. Do you think you are likely to re-injury your knee by participating in your sport? (0-100)</t>
  </si>
  <si>
    <t>3. Are you nervous about playing your sport? (0-100)</t>
  </si>
  <si>
    <t>4. Are you confident that your knee will not give way by playing your sport? (0-100)</t>
  </si>
  <si>
    <t>5. Are you confident that you could play your sport without concern for your knee? (0-100)</t>
  </si>
  <si>
    <t>6. Do you find it frustrating to have to consider your knee with respect to your sport? (0-100)</t>
  </si>
  <si>
    <t>7. Are you fearful of re-injuring your knee by playing your sport? (0-100)</t>
  </si>
  <si>
    <t>8. Are you confident about your knee holding up under pressure? (0-100)</t>
  </si>
  <si>
    <t>9. Are you afraid of accidentally injuring your knee by playing your sport? (0-100)</t>
  </si>
  <si>
    <t>10. Do thoughts of having to go through surgery and rehabilitation prevent you from
 playing your sport? (0-100)</t>
  </si>
  <si>
    <t>11. Are you confident about your ability to perform well at your sport? (0-100)</t>
  </si>
  <si>
    <t>12. Do you feel relaxed about playing your sport? (0-100)</t>
  </si>
  <si>
    <t>Total</t>
  </si>
  <si>
    <t xml:space="preserve">Total score [%] </t>
  </si>
  <si>
    <t>2.  If I were to try to overcome it, my pain would increase. (1-4)</t>
  </si>
  <si>
    <t>1. I’m afraid that I might injure myself if I exercise. (1-4)</t>
  </si>
  <si>
    <t>3.  My body is telling me I have something dangerously wrong. (1-4)</t>
  </si>
  <si>
    <t>4.  People aren't taking my medical condition seriously enough. (1-4)</t>
  </si>
  <si>
    <t>5.  My accident has put my body at risk for the rest of my life. (1-4)</t>
  </si>
  <si>
    <t>6.  Pain always means I have injured my body. (1-4)</t>
  </si>
  <si>
    <t>11.  No one should have to exercise when he/she is in pain. (1-4)</t>
  </si>
  <si>
    <t>1. What is the highest level of activity that you can perform without significant knee pain? (0-4)</t>
  </si>
  <si>
    <t>2. During the past 4 weeks, or since your injury, how often have you had pain? (0-10)</t>
  </si>
  <si>
    <t>3. If you have pain, how severe is it? (0-10)</t>
  </si>
  <si>
    <t>4. During the past 4 weeks, or since your injury, how stiff or swollen was your knee? (0.4)</t>
  </si>
  <si>
    <t>5. What is the highest level of activity you can perform without significant swelling in your knee? (0-4)</t>
  </si>
  <si>
    <t>6. During the past 4 weeks, or since your injury, did your knee lock or catch? (0-1)</t>
  </si>
  <si>
    <t>7. What ist the highest level of activity you can perform without significant giving way in your knee? (0-4)</t>
  </si>
  <si>
    <t>8. What is the highest level of activity you can perform on a regular basis? (0-4)</t>
  </si>
  <si>
    <t>9. How does your knee affect your ability to the following activities? (0-4)</t>
  </si>
  <si>
    <t xml:space="preserve">10. How would you rate the function of your knee on a scale of 0 to 10 with 10 being normal, excellent function and 0 being the inability to perform any or your usual daily activities which may include sports? (0-10) </t>
  </si>
  <si>
    <t>7. Simply being careful that I do not make any unnecessary  movements is the safest thing I can do to precent my pain  from worsening. (1-4)</t>
  </si>
  <si>
    <t>8.  I wouldn't have this much pain if there weren't something  potentially dangerous going on in my body. (1-4)</t>
  </si>
  <si>
    <t>9. Pain lets me know when to stop exercising so that I don't  injure myself. (1-4)</t>
  </si>
  <si>
    <t>10.  I can't do all the things normal people do because it's too easy for me to get injured. (1-4)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</si>
  <si>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</si>
  <si>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</si>
  <si>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</si>
  <si>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</si>
  <si>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</si>
  <si>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</si>
  <si>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</si>
  <si>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</si>
  <si>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</si>
  <si>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</si>
  <si>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Item 11</t>
  </si>
  <si>
    <t>Questions</t>
  </si>
  <si>
    <t xml:space="preserve">Mean </t>
  </si>
  <si>
    <t xml:space="preserve">Standard deviation </t>
  </si>
  <si>
    <t>Item 12</t>
  </si>
  <si>
    <t xml:space="preserve">Questions </t>
  </si>
  <si>
    <t>Total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</si>
</sst>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1" fillId="0" borderId="1" xfId="0" applyFont="1" applyFill="1" applyBorder="1"/>
    <xf numFmtId="0" fontId="1" fillId="0" borderId="1" xfId="0" applyFont="1" applyBorder="1"/>
    <xf numFmtId="0" fontId="0" fillId="0" borderId="1" xfId="0" applyFont="1" applyBorder="1"/>
    <xf numFmtId="0" fontId="0" fillId="0" borderId="1" xfId="0" applyFont="1" applyBorder="1" applyAlignment="1">
      <alignment wrapText="1"/>
    </xf>
    <xf numFmtId="164" fontId="0" fillId="0" borderId="1" xfId="0" applyNumberFormat="1" applyBorder="1"/>
    <xf numFmtId="0" fontId="1" fillId="3" borderId="1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E5881-DD82-42D3-B5B0-742BCEE628AE}">
  <dimension ref="A1:Q25"/>
  <sheetViews>
    <sheetView tabSelected="1" workbookViewId="0">
      <selection activeCell="M28" sqref="M28"/>
    </sheetView>
  </sheetViews>
  <sheetFormatPr baseColWidth="10" defaultRowHeight="15" x14ac:dyDescent="0.25"/>
  <cols>
    <col min="12" max="12" width="18.28515625" bestFit="1" customWidth="1"/>
    <col min="13" max="13" width="18.42578125" bestFit="1" customWidth="1"/>
    <col min="17" max="17" width="112" customWidth="1"/>
    <col min="18" max="18" width="23.85546875" bestFit="1" customWidth="1"/>
  </cols>
  <sheetData>
    <row r="1" spans="1:17" x14ac:dyDescent="0.25">
      <c r="A1" s="1" t="s">
        <v>21</v>
      </c>
      <c r="B1" s="6" t="s">
        <v>58</v>
      </c>
      <c r="C1" s="6" t="s">
        <v>59</v>
      </c>
      <c r="D1" s="6" t="s">
        <v>60</v>
      </c>
      <c r="E1" s="6" t="s">
        <v>61</v>
      </c>
      <c r="F1" s="6" t="s">
        <v>62</v>
      </c>
      <c r="G1" s="6" t="s">
        <v>63</v>
      </c>
      <c r="H1" s="6" t="s">
        <v>64</v>
      </c>
      <c r="I1" s="6" t="s">
        <v>65</v>
      </c>
      <c r="J1" s="6" t="s">
        <v>66</v>
      </c>
      <c r="K1" s="6" t="s">
        <v>67</v>
      </c>
      <c r="L1" s="11" t="s">
        <v>74</v>
      </c>
      <c r="M1" s="11" t="s">
        <v>22</v>
      </c>
      <c r="Q1" s="7" t="s">
        <v>73</v>
      </c>
    </row>
    <row r="2" spans="1:17" x14ac:dyDescent="0.25">
      <c r="A2" s="1" t="s">
        <v>0</v>
      </c>
      <c r="B2" s="1">
        <v>4</v>
      </c>
      <c r="C2" s="1">
        <v>10</v>
      </c>
      <c r="D2" s="1">
        <v>10</v>
      </c>
      <c r="E2" s="1">
        <v>4</v>
      </c>
      <c r="F2" s="1">
        <v>4</v>
      </c>
      <c r="G2" s="1">
        <v>1</v>
      </c>
      <c r="H2" s="1">
        <v>4</v>
      </c>
      <c r="I2" s="1">
        <v>4</v>
      </c>
      <c r="J2" s="1">
        <v>35</v>
      </c>
      <c r="K2" s="1">
        <v>10</v>
      </c>
      <c r="L2" s="1">
        <f>SUM(B2:K2)</f>
        <v>86</v>
      </c>
      <c r="M2" s="10">
        <f>(L2/87)*100</f>
        <v>98.850574712643677</v>
      </c>
      <c r="Q2" s="8" t="s">
        <v>44</v>
      </c>
    </row>
    <row r="3" spans="1:17" x14ac:dyDescent="0.25">
      <c r="A3" s="1" t="s">
        <v>1</v>
      </c>
      <c r="B3" s="1">
        <v>4</v>
      </c>
      <c r="C3" s="1">
        <v>10</v>
      </c>
      <c r="D3" s="1">
        <v>10</v>
      </c>
      <c r="E3" s="1">
        <v>4</v>
      </c>
      <c r="F3" s="1">
        <v>4</v>
      </c>
      <c r="G3" s="1">
        <v>1</v>
      </c>
      <c r="H3" s="1">
        <v>4</v>
      </c>
      <c r="I3" s="1">
        <v>4</v>
      </c>
      <c r="J3" s="1">
        <v>36</v>
      </c>
      <c r="K3" s="1">
        <v>10</v>
      </c>
      <c r="L3" s="1">
        <f>SUM(B3:K3)</f>
        <v>87</v>
      </c>
      <c r="M3" s="10">
        <f>(L3/87)*100</f>
        <v>100</v>
      </c>
      <c r="N3" s="4"/>
      <c r="Q3" s="8" t="s">
        <v>45</v>
      </c>
    </row>
    <row r="4" spans="1:17" x14ac:dyDescent="0.25">
      <c r="A4" s="1" t="s">
        <v>2</v>
      </c>
      <c r="B4" s="1">
        <v>4</v>
      </c>
      <c r="C4" s="1">
        <v>10</v>
      </c>
      <c r="D4" s="1">
        <v>10</v>
      </c>
      <c r="E4" s="1">
        <v>4</v>
      </c>
      <c r="F4" s="1">
        <v>4</v>
      </c>
      <c r="G4" s="1">
        <v>1</v>
      </c>
      <c r="H4" s="1">
        <v>4</v>
      </c>
      <c r="I4" s="1">
        <v>4</v>
      </c>
      <c r="J4" s="1">
        <v>34</v>
      </c>
      <c r="K4" s="2">
        <v>10</v>
      </c>
      <c r="L4" s="1">
        <f>SUM(B4:K4)</f>
        <v>85</v>
      </c>
      <c r="M4" s="10">
        <f>(L4/87)*100</f>
        <v>97.701149425287355</v>
      </c>
      <c r="Q4" s="8" t="s">
        <v>46</v>
      </c>
    </row>
    <row r="5" spans="1:17" x14ac:dyDescent="0.25">
      <c r="A5" s="1" t="s">
        <v>3</v>
      </c>
      <c r="B5" s="1">
        <v>3</v>
      </c>
      <c r="C5" s="1">
        <v>10</v>
      </c>
      <c r="D5" s="1">
        <v>10</v>
      </c>
      <c r="E5" s="1">
        <v>4</v>
      </c>
      <c r="F5" s="1">
        <v>3</v>
      </c>
      <c r="G5" s="1">
        <v>1</v>
      </c>
      <c r="H5" s="1">
        <v>3</v>
      </c>
      <c r="I5" s="1">
        <v>3</v>
      </c>
      <c r="J5" s="1">
        <v>32</v>
      </c>
      <c r="K5" s="1">
        <v>8</v>
      </c>
      <c r="L5" s="1">
        <f t="shared" ref="L5:L22" si="0">SUM(B5:K5)</f>
        <v>77</v>
      </c>
      <c r="M5" s="10">
        <f t="shared" ref="M5:M22" si="1">(L5/87)*100</f>
        <v>88.505747126436788</v>
      </c>
      <c r="Q5" s="8" t="s">
        <v>47</v>
      </c>
    </row>
    <row r="6" spans="1:17" x14ac:dyDescent="0.25">
      <c r="A6" s="1" t="s">
        <v>4</v>
      </c>
      <c r="B6" s="1">
        <v>4</v>
      </c>
      <c r="C6" s="1">
        <v>10</v>
      </c>
      <c r="D6" s="1">
        <v>10</v>
      </c>
      <c r="E6" s="1">
        <v>4</v>
      </c>
      <c r="F6" s="1">
        <v>4</v>
      </c>
      <c r="G6" s="1">
        <v>1</v>
      </c>
      <c r="H6" s="1">
        <v>4</v>
      </c>
      <c r="I6" s="1">
        <v>4</v>
      </c>
      <c r="J6" s="1">
        <v>36</v>
      </c>
      <c r="K6" s="1">
        <v>10</v>
      </c>
      <c r="L6" s="1">
        <f t="shared" si="0"/>
        <v>87</v>
      </c>
      <c r="M6" s="10">
        <f t="shared" si="1"/>
        <v>100</v>
      </c>
      <c r="Q6" s="8" t="s">
        <v>48</v>
      </c>
    </row>
    <row r="7" spans="1:17" x14ac:dyDescent="0.25">
      <c r="A7" s="1" t="s">
        <v>5</v>
      </c>
      <c r="B7" s="1">
        <v>3</v>
      </c>
      <c r="C7" s="1">
        <v>1</v>
      </c>
      <c r="D7" s="1">
        <v>2</v>
      </c>
      <c r="E7" s="1">
        <v>4</v>
      </c>
      <c r="F7" s="1">
        <v>4</v>
      </c>
      <c r="G7" s="1">
        <v>1</v>
      </c>
      <c r="H7" s="1">
        <v>3</v>
      </c>
      <c r="I7" s="1">
        <v>3</v>
      </c>
      <c r="J7" s="1">
        <v>33</v>
      </c>
      <c r="K7" s="1">
        <v>8</v>
      </c>
      <c r="L7" s="1">
        <f t="shared" si="0"/>
        <v>62</v>
      </c>
      <c r="M7" s="10">
        <f t="shared" si="1"/>
        <v>71.264367816091962</v>
      </c>
      <c r="Q7" s="8" t="s">
        <v>49</v>
      </c>
    </row>
    <row r="8" spans="1:17" x14ac:dyDescent="0.25">
      <c r="A8" s="1" t="s">
        <v>6</v>
      </c>
      <c r="B8" s="1">
        <v>4</v>
      </c>
      <c r="C8" s="1">
        <v>10</v>
      </c>
      <c r="D8" s="1">
        <v>10</v>
      </c>
      <c r="E8" s="1">
        <v>4</v>
      </c>
      <c r="F8" s="1">
        <v>4</v>
      </c>
      <c r="G8" s="1">
        <v>1</v>
      </c>
      <c r="H8" s="1">
        <v>4</v>
      </c>
      <c r="I8" s="1">
        <v>4</v>
      </c>
      <c r="J8" s="1">
        <v>36</v>
      </c>
      <c r="K8" s="1">
        <v>10</v>
      </c>
      <c r="L8" s="1">
        <f t="shared" si="0"/>
        <v>87</v>
      </c>
      <c r="M8" s="10">
        <f t="shared" si="1"/>
        <v>100</v>
      </c>
      <c r="Q8" s="8" t="s">
        <v>50</v>
      </c>
    </row>
    <row r="9" spans="1:17" x14ac:dyDescent="0.25">
      <c r="A9" s="1" t="s">
        <v>7</v>
      </c>
      <c r="B9" s="1">
        <v>3</v>
      </c>
      <c r="C9" s="1">
        <v>9</v>
      </c>
      <c r="D9" s="1">
        <v>10</v>
      </c>
      <c r="E9" s="1">
        <v>4</v>
      </c>
      <c r="F9" s="1">
        <v>3</v>
      </c>
      <c r="G9" s="1">
        <v>1</v>
      </c>
      <c r="H9" s="1">
        <v>3</v>
      </c>
      <c r="I9" s="1">
        <v>3</v>
      </c>
      <c r="J9" s="1">
        <v>33</v>
      </c>
      <c r="K9" s="1">
        <v>10</v>
      </c>
      <c r="L9" s="1">
        <f t="shared" si="0"/>
        <v>79</v>
      </c>
      <c r="M9" s="10">
        <f t="shared" si="1"/>
        <v>90.804597701149419</v>
      </c>
      <c r="Q9" s="8" t="s">
        <v>51</v>
      </c>
    </row>
    <row r="10" spans="1:17" x14ac:dyDescent="0.25">
      <c r="A10" s="1" t="s">
        <v>8</v>
      </c>
      <c r="B10" s="1">
        <v>4</v>
      </c>
      <c r="C10" s="1">
        <v>9</v>
      </c>
      <c r="D10" s="1">
        <v>9</v>
      </c>
      <c r="E10" s="1">
        <v>3</v>
      </c>
      <c r="F10" s="1">
        <v>4</v>
      </c>
      <c r="G10" s="1">
        <v>1</v>
      </c>
      <c r="H10" s="1">
        <v>4</v>
      </c>
      <c r="I10" s="1">
        <v>4</v>
      </c>
      <c r="J10" s="1">
        <v>36</v>
      </c>
      <c r="K10" s="1">
        <v>10</v>
      </c>
      <c r="L10" s="1">
        <f t="shared" si="0"/>
        <v>84</v>
      </c>
      <c r="M10" s="10">
        <f t="shared" si="1"/>
        <v>96.551724137931032</v>
      </c>
      <c r="Q10" s="8" t="s">
        <v>52</v>
      </c>
    </row>
    <row r="11" spans="1:17" ht="30" x14ac:dyDescent="0.25">
      <c r="A11" s="1" t="s">
        <v>9</v>
      </c>
      <c r="B11" s="1">
        <v>4</v>
      </c>
      <c r="C11" s="1">
        <v>10</v>
      </c>
      <c r="D11" s="1">
        <v>10</v>
      </c>
      <c r="E11" s="1">
        <v>4</v>
      </c>
      <c r="F11" s="1">
        <v>4</v>
      </c>
      <c r="G11" s="1">
        <v>1</v>
      </c>
      <c r="H11" s="1">
        <v>4</v>
      </c>
      <c r="I11" s="1">
        <v>4</v>
      </c>
      <c r="J11" s="1">
        <v>36</v>
      </c>
      <c r="K11" s="1">
        <v>10</v>
      </c>
      <c r="L11" s="1">
        <f t="shared" si="0"/>
        <v>87</v>
      </c>
      <c r="M11" s="10">
        <f t="shared" si="1"/>
        <v>100</v>
      </c>
      <c r="Q11" s="9" t="s">
        <v>53</v>
      </c>
    </row>
    <row r="12" spans="1:17" x14ac:dyDescent="0.25">
      <c r="A12" s="1" t="s">
        <v>10</v>
      </c>
      <c r="B12" s="1">
        <v>3</v>
      </c>
      <c r="C12" s="1">
        <v>8</v>
      </c>
      <c r="D12" s="1">
        <v>7</v>
      </c>
      <c r="E12" s="1">
        <v>4</v>
      </c>
      <c r="F12" s="1">
        <v>3</v>
      </c>
      <c r="G12" s="1">
        <v>1</v>
      </c>
      <c r="H12" s="1">
        <v>4</v>
      </c>
      <c r="I12" s="1">
        <v>3</v>
      </c>
      <c r="J12" s="1">
        <v>33</v>
      </c>
      <c r="K12" s="1">
        <v>10</v>
      </c>
      <c r="L12" s="1">
        <f t="shared" si="0"/>
        <v>76</v>
      </c>
      <c r="M12" s="10">
        <f t="shared" si="1"/>
        <v>87.356321839080465</v>
      </c>
    </row>
    <row r="13" spans="1:17" x14ac:dyDescent="0.25">
      <c r="A13" s="1" t="s">
        <v>11</v>
      </c>
      <c r="B13" s="1">
        <v>4</v>
      </c>
      <c r="C13" s="1">
        <v>7</v>
      </c>
      <c r="D13" s="1">
        <v>8</v>
      </c>
      <c r="E13" s="1">
        <v>3</v>
      </c>
      <c r="F13" s="1">
        <v>3</v>
      </c>
      <c r="G13" s="1">
        <v>1</v>
      </c>
      <c r="H13" s="1">
        <v>4</v>
      </c>
      <c r="I13" s="1">
        <v>4</v>
      </c>
      <c r="J13" s="1">
        <v>34</v>
      </c>
      <c r="K13" s="1">
        <v>10</v>
      </c>
      <c r="L13" s="1">
        <f t="shared" si="0"/>
        <v>78</v>
      </c>
      <c r="M13" s="10">
        <f t="shared" si="1"/>
        <v>89.65517241379311</v>
      </c>
    </row>
    <row r="14" spans="1:17" x14ac:dyDescent="0.25">
      <c r="A14" s="1" t="s">
        <v>12</v>
      </c>
      <c r="B14" s="1">
        <v>4</v>
      </c>
      <c r="C14" s="1">
        <v>8</v>
      </c>
      <c r="D14" s="1">
        <v>8</v>
      </c>
      <c r="E14" s="1">
        <v>4</v>
      </c>
      <c r="F14" s="1">
        <v>4</v>
      </c>
      <c r="G14" s="1">
        <v>0</v>
      </c>
      <c r="H14" s="1">
        <v>4</v>
      </c>
      <c r="I14" s="1">
        <v>4</v>
      </c>
      <c r="J14" s="1">
        <v>34</v>
      </c>
      <c r="K14" s="1">
        <v>9</v>
      </c>
      <c r="L14" s="1">
        <f t="shared" si="0"/>
        <v>79</v>
      </c>
      <c r="M14" s="10">
        <f t="shared" si="1"/>
        <v>90.804597701149419</v>
      </c>
    </row>
    <row r="15" spans="1:17" x14ac:dyDescent="0.25">
      <c r="A15" s="1" t="s">
        <v>13</v>
      </c>
      <c r="B15" s="1">
        <v>4</v>
      </c>
      <c r="C15" s="1">
        <v>10</v>
      </c>
      <c r="D15" s="1">
        <v>10</v>
      </c>
      <c r="E15" s="1">
        <v>4</v>
      </c>
      <c r="F15" s="1">
        <v>4</v>
      </c>
      <c r="G15" s="1">
        <v>1</v>
      </c>
      <c r="H15" s="1">
        <v>4</v>
      </c>
      <c r="I15" s="1">
        <v>4</v>
      </c>
      <c r="J15" s="1">
        <v>36</v>
      </c>
      <c r="K15" s="1">
        <v>10</v>
      </c>
      <c r="L15" s="1">
        <f t="shared" si="0"/>
        <v>87</v>
      </c>
      <c r="M15" s="10">
        <f t="shared" si="1"/>
        <v>100</v>
      </c>
    </row>
    <row r="16" spans="1:17" x14ac:dyDescent="0.25">
      <c r="A16" s="1" t="s">
        <v>14</v>
      </c>
      <c r="B16" s="1">
        <v>4</v>
      </c>
      <c r="C16" s="1">
        <v>10</v>
      </c>
      <c r="D16" s="1">
        <v>10</v>
      </c>
      <c r="E16" s="1">
        <v>4</v>
      </c>
      <c r="F16" s="1">
        <v>4</v>
      </c>
      <c r="G16" s="1">
        <v>1</v>
      </c>
      <c r="H16" s="1">
        <v>4</v>
      </c>
      <c r="I16" s="1">
        <v>4</v>
      </c>
      <c r="J16" s="1">
        <v>36</v>
      </c>
      <c r="K16" s="1">
        <v>10</v>
      </c>
      <c r="L16" s="1">
        <f t="shared" si="0"/>
        <v>87</v>
      </c>
      <c r="M16" s="10">
        <f t="shared" si="1"/>
        <v>100</v>
      </c>
    </row>
    <row r="17" spans="1:13" x14ac:dyDescent="0.25">
      <c r="A17" s="2" t="s">
        <v>15</v>
      </c>
      <c r="B17" s="1">
        <v>4</v>
      </c>
      <c r="C17" s="1">
        <v>8</v>
      </c>
      <c r="D17" s="1">
        <v>8</v>
      </c>
      <c r="E17" s="1">
        <v>4</v>
      </c>
      <c r="F17" s="1">
        <v>4</v>
      </c>
      <c r="G17" s="1">
        <v>1</v>
      </c>
      <c r="H17" s="1">
        <v>4</v>
      </c>
      <c r="I17" s="1">
        <v>4</v>
      </c>
      <c r="J17" s="1">
        <v>29</v>
      </c>
      <c r="K17" s="1">
        <v>7</v>
      </c>
      <c r="L17" s="1">
        <f t="shared" si="0"/>
        <v>73</v>
      </c>
      <c r="M17" s="10">
        <f t="shared" si="1"/>
        <v>83.908045977011497</v>
      </c>
    </row>
    <row r="18" spans="1:13" x14ac:dyDescent="0.25">
      <c r="A18" s="1" t="s">
        <v>16</v>
      </c>
      <c r="B18" s="1">
        <v>4</v>
      </c>
      <c r="C18" s="1">
        <v>2</v>
      </c>
      <c r="D18" s="1">
        <v>4</v>
      </c>
      <c r="E18" s="1">
        <v>4</v>
      </c>
      <c r="F18" s="1">
        <v>4</v>
      </c>
      <c r="G18" s="1">
        <v>1</v>
      </c>
      <c r="H18" s="1">
        <v>4</v>
      </c>
      <c r="I18" s="1">
        <v>4</v>
      </c>
      <c r="J18" s="1">
        <v>34</v>
      </c>
      <c r="K18" s="1">
        <v>9</v>
      </c>
      <c r="L18" s="1">
        <f t="shared" si="0"/>
        <v>70</v>
      </c>
      <c r="M18" s="10">
        <f t="shared" si="1"/>
        <v>80.459770114942529</v>
      </c>
    </row>
    <row r="19" spans="1:13" x14ac:dyDescent="0.25">
      <c r="A19" s="1" t="s">
        <v>17</v>
      </c>
      <c r="B19" s="1">
        <v>4</v>
      </c>
      <c r="C19" s="1">
        <v>9</v>
      </c>
      <c r="D19" s="1">
        <v>9</v>
      </c>
      <c r="E19" s="1">
        <v>4</v>
      </c>
      <c r="F19" s="1">
        <v>4</v>
      </c>
      <c r="G19" s="1">
        <v>1</v>
      </c>
      <c r="H19" s="1">
        <v>4</v>
      </c>
      <c r="I19" s="1">
        <v>4</v>
      </c>
      <c r="J19" s="1">
        <v>36</v>
      </c>
      <c r="K19" s="1">
        <v>9</v>
      </c>
      <c r="L19" s="1">
        <f t="shared" si="0"/>
        <v>84</v>
      </c>
      <c r="M19" s="10">
        <f t="shared" si="1"/>
        <v>96.551724137931032</v>
      </c>
    </row>
    <row r="20" spans="1:13" x14ac:dyDescent="0.25">
      <c r="A20" s="1" t="s">
        <v>18</v>
      </c>
      <c r="B20" s="1">
        <v>4</v>
      </c>
      <c r="C20" s="1">
        <v>10</v>
      </c>
      <c r="D20" s="1">
        <v>10</v>
      </c>
      <c r="E20" s="1">
        <v>4</v>
      </c>
      <c r="F20" s="1">
        <v>3</v>
      </c>
      <c r="G20" s="1">
        <v>1</v>
      </c>
      <c r="H20" s="1">
        <v>4</v>
      </c>
      <c r="I20" s="1">
        <v>4</v>
      </c>
      <c r="J20" s="1">
        <v>35</v>
      </c>
      <c r="K20" s="1">
        <v>10</v>
      </c>
      <c r="L20" s="1">
        <f t="shared" si="0"/>
        <v>85</v>
      </c>
      <c r="M20" s="10">
        <f t="shared" si="1"/>
        <v>97.701149425287355</v>
      </c>
    </row>
    <row r="21" spans="1:13" x14ac:dyDescent="0.25">
      <c r="A21" s="1" t="s">
        <v>19</v>
      </c>
      <c r="B21" s="1">
        <v>3</v>
      </c>
      <c r="C21" s="1">
        <v>6</v>
      </c>
      <c r="D21" s="1">
        <v>8</v>
      </c>
      <c r="E21" s="1">
        <v>4</v>
      </c>
      <c r="F21" s="1">
        <v>4</v>
      </c>
      <c r="G21" s="1">
        <v>1</v>
      </c>
      <c r="H21" s="1">
        <v>4</v>
      </c>
      <c r="I21" s="1">
        <v>4</v>
      </c>
      <c r="J21" s="1">
        <v>33</v>
      </c>
      <c r="K21" s="1">
        <v>10</v>
      </c>
      <c r="L21" s="1">
        <f t="shared" si="0"/>
        <v>77</v>
      </c>
      <c r="M21" s="10">
        <f t="shared" si="1"/>
        <v>88.505747126436788</v>
      </c>
    </row>
    <row r="22" spans="1:13" x14ac:dyDescent="0.25">
      <c r="A22" s="1" t="s">
        <v>20</v>
      </c>
      <c r="B22" s="1">
        <v>4</v>
      </c>
      <c r="C22" s="1">
        <v>10</v>
      </c>
      <c r="D22" s="1">
        <v>10</v>
      </c>
      <c r="E22" s="1">
        <v>3</v>
      </c>
      <c r="F22" s="1">
        <v>4</v>
      </c>
      <c r="G22" s="1">
        <v>1</v>
      </c>
      <c r="H22" s="1">
        <v>4</v>
      </c>
      <c r="I22" s="1">
        <v>4</v>
      </c>
      <c r="J22" s="1">
        <v>35</v>
      </c>
      <c r="K22" s="1">
        <v>10</v>
      </c>
      <c r="L22" s="1">
        <f t="shared" si="0"/>
        <v>85</v>
      </c>
      <c r="M22" s="10">
        <f t="shared" si="1"/>
        <v>97.701149425287355</v>
      </c>
    </row>
    <row r="24" spans="1:13" x14ac:dyDescent="0.25">
      <c r="L24" t="s">
        <v>70</v>
      </c>
      <c r="M24" s="5">
        <f>AVERAGE(M2:M22)</f>
        <v>93.158182813355225</v>
      </c>
    </row>
    <row r="25" spans="1:13" x14ac:dyDescent="0.25">
      <c r="L25" t="s">
        <v>71</v>
      </c>
      <c r="M25" s="5">
        <f>_xlfn.STDEV.S(M2:M22)</f>
        <v>7.8251822601586793</v>
      </c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2056F-42ED-4828-B948-F3C106B5D080}">
  <dimension ref="A1:R25"/>
  <sheetViews>
    <sheetView workbookViewId="0">
      <selection activeCell="D26" sqref="D26"/>
    </sheetView>
  </sheetViews>
  <sheetFormatPr baseColWidth="10" defaultRowHeight="15" x14ac:dyDescent="0.25"/>
  <cols>
    <col min="15" max="15" width="14.42578125" bestFit="1" customWidth="1"/>
    <col min="17" max="17" width="84.85546875" bestFit="1" customWidth="1"/>
  </cols>
  <sheetData>
    <row r="1" spans="1:18" x14ac:dyDescent="0.25">
      <c r="A1" s="7" t="s">
        <v>21</v>
      </c>
      <c r="B1" s="6" t="s">
        <v>58</v>
      </c>
      <c r="C1" s="6" t="s">
        <v>59</v>
      </c>
      <c r="D1" s="6" t="s">
        <v>60</v>
      </c>
      <c r="E1" s="6" t="s">
        <v>61</v>
      </c>
      <c r="F1" s="6" t="s">
        <v>62</v>
      </c>
      <c r="G1" s="6" t="s">
        <v>63</v>
      </c>
      <c r="H1" s="6" t="s">
        <v>64</v>
      </c>
      <c r="I1" s="6" t="s">
        <v>65</v>
      </c>
      <c r="J1" s="6" t="s">
        <v>66</v>
      </c>
      <c r="K1" s="6" t="s">
        <v>67</v>
      </c>
      <c r="L1" s="6" t="s">
        <v>68</v>
      </c>
      <c r="M1" s="7" t="s">
        <v>72</v>
      </c>
      <c r="N1" s="11" t="s">
        <v>35</v>
      </c>
      <c r="O1" s="11" t="s">
        <v>36</v>
      </c>
      <c r="Q1" s="7" t="s">
        <v>69</v>
      </c>
      <c r="R1" s="3"/>
    </row>
    <row r="2" spans="1:18" x14ac:dyDescent="0.25">
      <c r="A2" s="1" t="s">
        <v>0</v>
      </c>
      <c r="B2" s="1">
        <v>90</v>
      </c>
      <c r="C2" s="1">
        <v>60</v>
      </c>
      <c r="D2" s="1">
        <v>90</v>
      </c>
      <c r="E2" s="1">
        <v>70</v>
      </c>
      <c r="F2" s="1">
        <v>80</v>
      </c>
      <c r="G2" s="1">
        <v>70</v>
      </c>
      <c r="H2" s="1">
        <v>60</v>
      </c>
      <c r="I2" s="1">
        <v>80</v>
      </c>
      <c r="J2" s="1">
        <v>60</v>
      </c>
      <c r="K2" s="1">
        <v>90</v>
      </c>
      <c r="L2" s="1">
        <v>90</v>
      </c>
      <c r="M2" s="1">
        <v>100</v>
      </c>
      <c r="N2" s="1">
        <f t="shared" ref="N2:N17" si="0">SUM(B2:M2)</f>
        <v>940</v>
      </c>
      <c r="O2" s="10">
        <f t="shared" ref="O2:O17" si="1">N2/12</f>
        <v>78.333333333333329</v>
      </c>
      <c r="Q2" s="8" t="s">
        <v>23</v>
      </c>
    </row>
    <row r="3" spans="1:18" x14ac:dyDescent="0.25">
      <c r="A3" s="1" t="s">
        <v>1</v>
      </c>
      <c r="B3" s="1">
        <v>100</v>
      </c>
      <c r="C3" s="1">
        <v>80</v>
      </c>
      <c r="D3" s="1">
        <v>100</v>
      </c>
      <c r="E3" s="1">
        <v>100</v>
      </c>
      <c r="F3" s="1">
        <v>100</v>
      </c>
      <c r="G3" s="1">
        <v>100</v>
      </c>
      <c r="H3" s="1">
        <v>80</v>
      </c>
      <c r="I3" s="1">
        <v>100</v>
      </c>
      <c r="J3" s="1">
        <v>80</v>
      </c>
      <c r="K3" s="1">
        <v>100</v>
      </c>
      <c r="L3" s="1">
        <v>100</v>
      </c>
      <c r="M3" s="1">
        <v>100</v>
      </c>
      <c r="N3" s="1">
        <f t="shared" si="0"/>
        <v>1140</v>
      </c>
      <c r="O3" s="10">
        <f t="shared" si="1"/>
        <v>95</v>
      </c>
      <c r="Q3" s="8" t="s">
        <v>24</v>
      </c>
    </row>
    <row r="4" spans="1:18" x14ac:dyDescent="0.25">
      <c r="A4" s="1" t="s">
        <v>2</v>
      </c>
      <c r="B4" s="1">
        <v>70</v>
      </c>
      <c r="C4" s="1">
        <v>80</v>
      </c>
      <c r="D4" s="1">
        <v>30</v>
      </c>
      <c r="E4" s="1">
        <v>60</v>
      </c>
      <c r="F4" s="1">
        <v>60</v>
      </c>
      <c r="G4" s="1">
        <v>30</v>
      </c>
      <c r="H4" s="1">
        <v>40</v>
      </c>
      <c r="I4" s="1">
        <v>60</v>
      </c>
      <c r="J4" s="1">
        <v>70</v>
      </c>
      <c r="K4" s="1">
        <v>20</v>
      </c>
      <c r="L4" s="1">
        <v>80</v>
      </c>
      <c r="M4" s="1">
        <v>70</v>
      </c>
      <c r="N4" s="1">
        <f t="shared" si="0"/>
        <v>670</v>
      </c>
      <c r="O4" s="10">
        <f t="shared" si="1"/>
        <v>55.833333333333336</v>
      </c>
      <c r="Q4" s="8" t="s">
        <v>25</v>
      </c>
    </row>
    <row r="5" spans="1:18" x14ac:dyDescent="0.25">
      <c r="A5" s="1" t="s">
        <v>3</v>
      </c>
      <c r="B5" s="1">
        <v>80</v>
      </c>
      <c r="C5" s="1">
        <v>50</v>
      </c>
      <c r="D5" s="1">
        <v>70</v>
      </c>
      <c r="E5" s="1">
        <v>80</v>
      </c>
      <c r="F5" s="1">
        <v>80</v>
      </c>
      <c r="G5" s="1">
        <v>80</v>
      </c>
      <c r="H5" s="1">
        <v>80</v>
      </c>
      <c r="I5" s="1">
        <v>80</v>
      </c>
      <c r="J5" s="1">
        <v>60</v>
      </c>
      <c r="K5" s="1">
        <v>80</v>
      </c>
      <c r="L5" s="1">
        <v>80</v>
      </c>
      <c r="M5" s="1">
        <v>80</v>
      </c>
      <c r="N5" s="1">
        <f t="shared" si="0"/>
        <v>900</v>
      </c>
      <c r="O5" s="10">
        <f t="shared" si="1"/>
        <v>75</v>
      </c>
      <c r="Q5" s="8" t="s">
        <v>26</v>
      </c>
    </row>
    <row r="6" spans="1:18" x14ac:dyDescent="0.25">
      <c r="A6" s="1" t="s">
        <v>4</v>
      </c>
      <c r="B6" s="1">
        <v>100</v>
      </c>
      <c r="C6" s="1">
        <v>55</v>
      </c>
      <c r="D6" s="1">
        <v>20</v>
      </c>
      <c r="E6" s="1">
        <v>90</v>
      </c>
      <c r="F6" s="1">
        <v>90</v>
      </c>
      <c r="G6" s="1">
        <v>50</v>
      </c>
      <c r="H6" s="1">
        <v>50</v>
      </c>
      <c r="I6" s="1">
        <v>90</v>
      </c>
      <c r="J6" s="1">
        <v>20</v>
      </c>
      <c r="K6" s="1">
        <v>15</v>
      </c>
      <c r="L6" s="1">
        <v>90</v>
      </c>
      <c r="M6" s="1">
        <v>90</v>
      </c>
      <c r="N6" s="1">
        <f t="shared" si="0"/>
        <v>760</v>
      </c>
      <c r="O6" s="10">
        <f t="shared" si="1"/>
        <v>63.333333333333336</v>
      </c>
      <c r="Q6" s="8" t="s">
        <v>27</v>
      </c>
    </row>
    <row r="7" spans="1:18" x14ac:dyDescent="0.25">
      <c r="A7" s="1" t="s">
        <v>5</v>
      </c>
      <c r="B7" s="1">
        <v>80</v>
      </c>
      <c r="C7" s="1">
        <v>20</v>
      </c>
      <c r="D7" s="1">
        <v>20</v>
      </c>
      <c r="E7" s="1">
        <v>50</v>
      </c>
      <c r="F7" s="1">
        <v>70</v>
      </c>
      <c r="G7" s="1">
        <v>10</v>
      </c>
      <c r="H7" s="1">
        <v>10</v>
      </c>
      <c r="I7" s="1">
        <v>50</v>
      </c>
      <c r="J7" s="1">
        <v>20</v>
      </c>
      <c r="K7" s="1">
        <v>70</v>
      </c>
      <c r="L7" s="1">
        <v>80</v>
      </c>
      <c r="M7" s="1">
        <v>80</v>
      </c>
      <c r="N7" s="1">
        <f t="shared" si="0"/>
        <v>560</v>
      </c>
      <c r="O7" s="10">
        <f t="shared" si="1"/>
        <v>46.666666666666664</v>
      </c>
      <c r="Q7" s="8" t="s">
        <v>28</v>
      </c>
    </row>
    <row r="8" spans="1:18" x14ac:dyDescent="0.25">
      <c r="A8" s="1" t="s">
        <v>6</v>
      </c>
      <c r="B8" s="1">
        <v>100</v>
      </c>
      <c r="C8" s="1">
        <v>70</v>
      </c>
      <c r="D8" s="1">
        <v>100</v>
      </c>
      <c r="E8" s="1">
        <v>80</v>
      </c>
      <c r="F8" s="1">
        <v>90</v>
      </c>
      <c r="G8" s="1">
        <v>100</v>
      </c>
      <c r="H8" s="1">
        <v>90</v>
      </c>
      <c r="I8" s="1">
        <v>100</v>
      </c>
      <c r="J8" s="1">
        <v>100</v>
      </c>
      <c r="K8" s="1">
        <v>100</v>
      </c>
      <c r="L8" s="1">
        <v>80</v>
      </c>
      <c r="M8" s="1">
        <v>100</v>
      </c>
      <c r="N8" s="1">
        <f t="shared" si="0"/>
        <v>1110</v>
      </c>
      <c r="O8" s="10">
        <f t="shared" si="1"/>
        <v>92.5</v>
      </c>
      <c r="Q8" s="8" t="s">
        <v>29</v>
      </c>
    </row>
    <row r="9" spans="1:18" x14ac:dyDescent="0.25">
      <c r="A9" s="1" t="s">
        <v>7</v>
      </c>
      <c r="B9" s="1">
        <v>90</v>
      </c>
      <c r="C9" s="1">
        <v>40</v>
      </c>
      <c r="D9" s="1">
        <v>100</v>
      </c>
      <c r="E9" s="1">
        <v>90</v>
      </c>
      <c r="F9" s="1">
        <v>80</v>
      </c>
      <c r="G9" s="1">
        <v>0</v>
      </c>
      <c r="H9" s="1">
        <v>60</v>
      </c>
      <c r="I9" s="1">
        <v>100</v>
      </c>
      <c r="J9" s="1">
        <v>60</v>
      </c>
      <c r="K9" s="1">
        <v>80</v>
      </c>
      <c r="L9" s="1">
        <v>90</v>
      </c>
      <c r="M9" s="1">
        <v>90</v>
      </c>
      <c r="N9" s="1">
        <f t="shared" si="0"/>
        <v>880</v>
      </c>
      <c r="O9" s="10">
        <f t="shared" si="1"/>
        <v>73.333333333333329</v>
      </c>
      <c r="Q9" s="8" t="s">
        <v>30</v>
      </c>
    </row>
    <row r="10" spans="1:18" x14ac:dyDescent="0.25">
      <c r="A10" s="1" t="s">
        <v>8</v>
      </c>
      <c r="B10" s="1">
        <v>70</v>
      </c>
      <c r="C10" s="1">
        <v>90</v>
      </c>
      <c r="D10" s="1">
        <v>40</v>
      </c>
      <c r="E10" s="1">
        <v>90</v>
      </c>
      <c r="F10" s="1">
        <v>60</v>
      </c>
      <c r="G10" s="1">
        <v>10</v>
      </c>
      <c r="H10" s="1">
        <v>20</v>
      </c>
      <c r="I10" s="1">
        <v>90</v>
      </c>
      <c r="J10" s="1">
        <v>30</v>
      </c>
      <c r="K10" s="1">
        <v>70</v>
      </c>
      <c r="L10" s="1">
        <v>80</v>
      </c>
      <c r="M10" s="1">
        <v>50</v>
      </c>
      <c r="N10" s="1">
        <f t="shared" si="0"/>
        <v>700</v>
      </c>
      <c r="O10" s="10">
        <f t="shared" si="1"/>
        <v>58.333333333333336</v>
      </c>
      <c r="Q10" s="8" t="s">
        <v>31</v>
      </c>
    </row>
    <row r="11" spans="1:18" ht="30" x14ac:dyDescent="0.25">
      <c r="A11" s="1" t="s">
        <v>9</v>
      </c>
      <c r="B11" s="1">
        <v>100</v>
      </c>
      <c r="C11" s="1">
        <v>20</v>
      </c>
      <c r="D11" s="1">
        <v>100</v>
      </c>
      <c r="E11" s="1">
        <v>90</v>
      </c>
      <c r="F11" s="1">
        <v>90</v>
      </c>
      <c r="G11" s="1">
        <v>50</v>
      </c>
      <c r="H11" s="1">
        <v>50</v>
      </c>
      <c r="I11" s="1">
        <v>80</v>
      </c>
      <c r="J11" s="1">
        <v>60</v>
      </c>
      <c r="K11" s="1">
        <v>100</v>
      </c>
      <c r="L11" s="1">
        <v>100</v>
      </c>
      <c r="M11" s="1">
        <v>80</v>
      </c>
      <c r="N11" s="1">
        <f t="shared" si="0"/>
        <v>920</v>
      </c>
      <c r="O11" s="10">
        <f t="shared" si="1"/>
        <v>76.666666666666671</v>
      </c>
      <c r="Q11" s="9" t="s">
        <v>32</v>
      </c>
    </row>
    <row r="12" spans="1:18" x14ac:dyDescent="0.25">
      <c r="A12" s="1" t="s">
        <v>10</v>
      </c>
      <c r="B12" s="1">
        <v>40</v>
      </c>
      <c r="C12" s="1">
        <v>20</v>
      </c>
      <c r="D12" s="1">
        <v>40</v>
      </c>
      <c r="E12" s="1">
        <v>40</v>
      </c>
      <c r="F12" s="1">
        <v>30</v>
      </c>
      <c r="G12" s="1">
        <v>40</v>
      </c>
      <c r="H12" s="1">
        <v>30</v>
      </c>
      <c r="I12" s="1">
        <v>50</v>
      </c>
      <c r="J12" s="1">
        <v>30</v>
      </c>
      <c r="K12" s="1">
        <v>50</v>
      </c>
      <c r="L12" s="1">
        <v>60</v>
      </c>
      <c r="M12" s="1">
        <v>50</v>
      </c>
      <c r="N12" s="1">
        <f t="shared" si="0"/>
        <v>480</v>
      </c>
      <c r="O12" s="10">
        <f t="shared" si="1"/>
        <v>40</v>
      </c>
      <c r="Q12" s="8" t="s">
        <v>33</v>
      </c>
    </row>
    <row r="13" spans="1:18" x14ac:dyDescent="0.25">
      <c r="A13" s="1" t="s">
        <v>11</v>
      </c>
      <c r="B13" s="1">
        <v>90</v>
      </c>
      <c r="C13" s="1">
        <v>20</v>
      </c>
      <c r="D13" s="1">
        <v>80</v>
      </c>
      <c r="E13" s="1">
        <v>60</v>
      </c>
      <c r="F13" s="1">
        <v>30</v>
      </c>
      <c r="G13" s="1">
        <v>50</v>
      </c>
      <c r="H13" s="1">
        <v>40</v>
      </c>
      <c r="I13" s="1">
        <v>70</v>
      </c>
      <c r="J13" s="1">
        <v>40</v>
      </c>
      <c r="K13" s="1">
        <v>80</v>
      </c>
      <c r="L13" s="1">
        <v>80</v>
      </c>
      <c r="M13" s="1">
        <v>60</v>
      </c>
      <c r="N13" s="1">
        <f t="shared" si="0"/>
        <v>700</v>
      </c>
      <c r="O13" s="10">
        <f t="shared" si="1"/>
        <v>58.333333333333336</v>
      </c>
      <c r="Q13" s="8" t="s">
        <v>34</v>
      </c>
    </row>
    <row r="14" spans="1:18" x14ac:dyDescent="0.25">
      <c r="A14" s="1" t="s">
        <v>12</v>
      </c>
      <c r="B14" s="1">
        <v>70</v>
      </c>
      <c r="C14" s="1">
        <v>70</v>
      </c>
      <c r="D14" s="1">
        <v>70</v>
      </c>
      <c r="E14" s="1">
        <v>60</v>
      </c>
      <c r="F14" s="1">
        <v>40</v>
      </c>
      <c r="G14" s="1">
        <v>20</v>
      </c>
      <c r="H14" s="1">
        <v>90</v>
      </c>
      <c r="I14" s="1">
        <v>60</v>
      </c>
      <c r="J14" s="1">
        <v>90</v>
      </c>
      <c r="K14" s="1">
        <v>30</v>
      </c>
      <c r="L14" s="1">
        <v>70</v>
      </c>
      <c r="M14" s="1">
        <v>50</v>
      </c>
      <c r="N14" s="1">
        <f t="shared" si="0"/>
        <v>720</v>
      </c>
      <c r="O14" s="10">
        <f t="shared" si="1"/>
        <v>60</v>
      </c>
    </row>
    <row r="15" spans="1:18" x14ac:dyDescent="0.25">
      <c r="A15" s="1" t="s">
        <v>13</v>
      </c>
      <c r="B15" s="1">
        <v>95</v>
      </c>
      <c r="C15" s="1">
        <v>70</v>
      </c>
      <c r="D15" s="1">
        <v>50</v>
      </c>
      <c r="E15" s="1">
        <v>70</v>
      </c>
      <c r="F15" s="1">
        <v>80</v>
      </c>
      <c r="G15" s="1">
        <v>70</v>
      </c>
      <c r="H15" s="1">
        <v>70</v>
      </c>
      <c r="I15" s="1">
        <v>80</v>
      </c>
      <c r="J15" s="1">
        <v>60</v>
      </c>
      <c r="K15" s="1">
        <v>90</v>
      </c>
      <c r="L15" s="1">
        <v>90</v>
      </c>
      <c r="M15" s="1">
        <v>80</v>
      </c>
      <c r="N15" s="1">
        <f t="shared" si="0"/>
        <v>905</v>
      </c>
      <c r="O15" s="10">
        <f t="shared" si="1"/>
        <v>75.416666666666671</v>
      </c>
    </row>
    <row r="16" spans="1:18" x14ac:dyDescent="0.25">
      <c r="A16" s="1" t="s">
        <v>14</v>
      </c>
      <c r="B16" s="1">
        <v>100</v>
      </c>
      <c r="C16" s="1">
        <v>80</v>
      </c>
      <c r="D16" s="1">
        <v>90</v>
      </c>
      <c r="E16" s="1">
        <v>90</v>
      </c>
      <c r="F16" s="1">
        <v>90</v>
      </c>
      <c r="G16" s="1">
        <v>100</v>
      </c>
      <c r="H16" s="1">
        <v>70</v>
      </c>
      <c r="I16" s="1">
        <v>100</v>
      </c>
      <c r="J16" s="1">
        <v>80</v>
      </c>
      <c r="K16" s="1">
        <v>100</v>
      </c>
      <c r="L16" s="1">
        <v>100</v>
      </c>
      <c r="M16" s="1">
        <v>100</v>
      </c>
      <c r="N16" s="1">
        <f t="shared" si="0"/>
        <v>1100</v>
      </c>
      <c r="O16" s="10">
        <f t="shared" si="1"/>
        <v>91.666666666666671</v>
      </c>
    </row>
    <row r="17" spans="1:15" x14ac:dyDescent="0.25">
      <c r="A17" s="2" t="s">
        <v>15</v>
      </c>
      <c r="B17" s="1">
        <v>70</v>
      </c>
      <c r="C17" s="1">
        <v>60</v>
      </c>
      <c r="D17" s="1">
        <v>60</v>
      </c>
      <c r="E17" s="1">
        <v>60</v>
      </c>
      <c r="F17" s="1">
        <v>30</v>
      </c>
      <c r="G17" s="1">
        <v>0</v>
      </c>
      <c r="H17" s="1">
        <v>40</v>
      </c>
      <c r="I17" s="1">
        <v>70</v>
      </c>
      <c r="J17" s="1">
        <v>70</v>
      </c>
      <c r="K17" s="1">
        <v>70</v>
      </c>
      <c r="L17" s="1">
        <v>70</v>
      </c>
      <c r="M17" s="1">
        <v>70</v>
      </c>
      <c r="N17" s="1">
        <f t="shared" si="0"/>
        <v>670</v>
      </c>
      <c r="O17" s="10">
        <f t="shared" si="1"/>
        <v>55.833333333333336</v>
      </c>
    </row>
    <row r="18" spans="1:15" x14ac:dyDescent="0.25">
      <c r="A18" s="1" t="s">
        <v>16</v>
      </c>
      <c r="B18" s="1">
        <v>90</v>
      </c>
      <c r="C18" s="1">
        <v>50</v>
      </c>
      <c r="D18" s="1">
        <v>90</v>
      </c>
      <c r="E18" s="1">
        <v>80</v>
      </c>
      <c r="F18" s="1">
        <v>80</v>
      </c>
      <c r="G18" s="1">
        <v>50</v>
      </c>
      <c r="H18" s="1">
        <v>50</v>
      </c>
      <c r="I18" s="1">
        <v>90</v>
      </c>
      <c r="J18" s="1">
        <v>50</v>
      </c>
      <c r="K18" s="1">
        <v>0</v>
      </c>
      <c r="L18" s="1">
        <v>100</v>
      </c>
      <c r="M18" s="1">
        <v>90</v>
      </c>
      <c r="N18" s="1">
        <f t="shared" ref="N18:N22" si="2">SUM(B18:M18)</f>
        <v>820</v>
      </c>
      <c r="O18" s="10">
        <f t="shared" ref="O18:O22" si="3">N18/12</f>
        <v>68.333333333333329</v>
      </c>
    </row>
    <row r="19" spans="1:15" x14ac:dyDescent="0.25">
      <c r="A19" s="1" t="s">
        <v>17</v>
      </c>
      <c r="B19" s="1">
        <v>100</v>
      </c>
      <c r="C19" s="1">
        <v>70</v>
      </c>
      <c r="D19" s="1">
        <v>100</v>
      </c>
      <c r="E19" s="1">
        <v>100</v>
      </c>
      <c r="F19" s="1">
        <v>90</v>
      </c>
      <c r="G19" s="1">
        <v>100</v>
      </c>
      <c r="H19" s="1">
        <v>80</v>
      </c>
      <c r="I19" s="1">
        <v>90</v>
      </c>
      <c r="J19" s="1">
        <v>70</v>
      </c>
      <c r="K19" s="1">
        <v>90</v>
      </c>
      <c r="L19" s="1">
        <v>90</v>
      </c>
      <c r="M19" s="1">
        <v>80</v>
      </c>
      <c r="N19" s="1">
        <f t="shared" si="2"/>
        <v>1060</v>
      </c>
      <c r="O19" s="10">
        <f t="shared" si="3"/>
        <v>88.333333333333329</v>
      </c>
    </row>
    <row r="20" spans="1:15" x14ac:dyDescent="0.25">
      <c r="A20" s="1" t="s">
        <v>18</v>
      </c>
      <c r="B20" s="1">
        <v>80</v>
      </c>
      <c r="C20" s="1">
        <v>100</v>
      </c>
      <c r="D20" s="1">
        <v>80</v>
      </c>
      <c r="E20" s="1">
        <v>90</v>
      </c>
      <c r="F20" s="1">
        <v>90</v>
      </c>
      <c r="G20" s="1">
        <v>0</v>
      </c>
      <c r="H20" s="1">
        <v>50</v>
      </c>
      <c r="I20" s="1">
        <v>90</v>
      </c>
      <c r="J20" s="1">
        <v>80</v>
      </c>
      <c r="K20" s="1">
        <v>90</v>
      </c>
      <c r="L20" s="1">
        <v>100</v>
      </c>
      <c r="M20" s="1">
        <v>90</v>
      </c>
      <c r="N20" s="1">
        <f t="shared" si="2"/>
        <v>940</v>
      </c>
      <c r="O20" s="10">
        <f t="shared" si="3"/>
        <v>78.333333333333329</v>
      </c>
    </row>
    <row r="21" spans="1:15" x14ac:dyDescent="0.25">
      <c r="A21" s="1" t="s">
        <v>19</v>
      </c>
      <c r="B21" s="1">
        <v>20</v>
      </c>
      <c r="C21" s="1">
        <v>10</v>
      </c>
      <c r="D21" s="1">
        <v>40</v>
      </c>
      <c r="E21" s="1">
        <v>40</v>
      </c>
      <c r="F21" s="1">
        <v>30</v>
      </c>
      <c r="G21" s="1">
        <v>0</v>
      </c>
      <c r="H21" s="1">
        <v>20</v>
      </c>
      <c r="I21" s="1">
        <v>50</v>
      </c>
      <c r="J21" s="1">
        <v>40</v>
      </c>
      <c r="K21" s="1">
        <v>60</v>
      </c>
      <c r="L21" s="1">
        <v>30</v>
      </c>
      <c r="M21" s="1">
        <v>40</v>
      </c>
      <c r="N21" s="1">
        <f t="shared" si="2"/>
        <v>380</v>
      </c>
      <c r="O21" s="10">
        <f t="shared" si="3"/>
        <v>31.666666666666668</v>
      </c>
    </row>
    <row r="22" spans="1:15" x14ac:dyDescent="0.25">
      <c r="A22" s="1" t="s">
        <v>20</v>
      </c>
      <c r="B22" s="1">
        <v>30</v>
      </c>
      <c r="C22" s="1">
        <v>20</v>
      </c>
      <c r="D22" s="1">
        <v>70</v>
      </c>
      <c r="E22" s="1">
        <v>50</v>
      </c>
      <c r="F22" s="1">
        <v>30</v>
      </c>
      <c r="G22" s="1">
        <v>40</v>
      </c>
      <c r="H22" s="1">
        <v>20</v>
      </c>
      <c r="I22" s="1">
        <v>80</v>
      </c>
      <c r="J22" s="1">
        <v>30</v>
      </c>
      <c r="K22" s="1">
        <v>80</v>
      </c>
      <c r="L22" s="1">
        <v>30</v>
      </c>
      <c r="M22" s="1">
        <v>40</v>
      </c>
      <c r="N22" s="1">
        <f t="shared" si="2"/>
        <v>520</v>
      </c>
      <c r="O22" s="10">
        <f t="shared" si="3"/>
        <v>43.333333333333336</v>
      </c>
    </row>
    <row r="24" spans="1:15" x14ac:dyDescent="0.25">
      <c r="N24" s="1" t="s">
        <v>70</v>
      </c>
      <c r="O24" s="10">
        <f>AVERAGE(O2:O22)</f>
        <v>66.964285714285708</v>
      </c>
    </row>
    <row r="25" spans="1:15" x14ac:dyDescent="0.25">
      <c r="N25" s="1" t="s">
        <v>71</v>
      </c>
      <c r="O25" s="10">
        <f>_xlfn.STDEV.S(O2:O22)</f>
        <v>17.941428072197706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CBE97-640A-4D92-BEA9-BCB7214AC10E}">
  <dimension ref="A1:P25"/>
  <sheetViews>
    <sheetView workbookViewId="0">
      <selection activeCell="B1" sqref="B1:K1"/>
    </sheetView>
  </sheetViews>
  <sheetFormatPr baseColWidth="10" defaultRowHeight="15" x14ac:dyDescent="0.25"/>
  <cols>
    <col min="12" max="12" width="18.28515625" bestFit="1" customWidth="1"/>
    <col min="15" max="15" width="86.28515625" customWidth="1"/>
  </cols>
  <sheetData>
    <row r="1" spans="1:16" x14ac:dyDescent="0.25">
      <c r="A1" s="6" t="s">
        <v>21</v>
      </c>
      <c r="B1" s="6" t="s">
        <v>58</v>
      </c>
      <c r="C1" s="6" t="s">
        <v>59</v>
      </c>
      <c r="D1" s="6" t="s">
        <v>60</v>
      </c>
      <c r="E1" s="6" t="s">
        <v>61</v>
      </c>
      <c r="F1" s="6" t="s">
        <v>62</v>
      </c>
      <c r="G1" s="6" t="s">
        <v>63</v>
      </c>
      <c r="H1" s="6" t="s">
        <v>64</v>
      </c>
      <c r="I1" s="6" t="s">
        <v>65</v>
      </c>
      <c r="J1" s="6" t="s">
        <v>66</v>
      </c>
      <c r="K1" s="6" t="s">
        <v>67</v>
      </c>
      <c r="L1" s="6" t="s">
        <v>68</v>
      </c>
      <c r="M1" s="11" t="s">
        <v>35</v>
      </c>
      <c r="O1" s="7" t="s">
        <v>69</v>
      </c>
      <c r="P1" s="3"/>
    </row>
    <row r="2" spans="1:16" x14ac:dyDescent="0.25">
      <c r="A2" s="1" t="s">
        <v>0</v>
      </c>
      <c r="B2" s="1">
        <v>2</v>
      </c>
      <c r="C2" s="1">
        <v>3</v>
      </c>
      <c r="D2" s="1">
        <v>1</v>
      </c>
      <c r="E2" s="1">
        <v>1</v>
      </c>
      <c r="F2" s="1">
        <v>2</v>
      </c>
      <c r="G2" s="1">
        <v>4</v>
      </c>
      <c r="H2" s="1">
        <v>1</v>
      </c>
      <c r="I2" s="1">
        <v>2</v>
      </c>
      <c r="J2" s="1">
        <v>3</v>
      </c>
      <c r="K2" s="1">
        <v>1</v>
      </c>
      <c r="L2" s="1">
        <v>3</v>
      </c>
      <c r="M2" s="1">
        <f>SUM(B2:L2)</f>
        <v>23</v>
      </c>
      <c r="O2" s="8" t="s">
        <v>38</v>
      </c>
    </row>
    <row r="3" spans="1:16" x14ac:dyDescent="0.25">
      <c r="A3" s="1" t="s">
        <v>1</v>
      </c>
      <c r="B3" s="1">
        <v>1</v>
      </c>
      <c r="C3" s="1">
        <v>2</v>
      </c>
      <c r="D3" s="1">
        <v>1</v>
      </c>
      <c r="E3" s="1">
        <v>1</v>
      </c>
      <c r="F3" s="1">
        <v>1</v>
      </c>
      <c r="G3" s="1">
        <v>3</v>
      </c>
      <c r="H3" s="1">
        <v>1</v>
      </c>
      <c r="I3" s="1">
        <v>2</v>
      </c>
      <c r="J3" s="1">
        <v>3</v>
      </c>
      <c r="K3" s="1">
        <v>1</v>
      </c>
      <c r="L3" s="1">
        <v>4</v>
      </c>
      <c r="M3" s="1">
        <f t="shared" ref="M3:M22" si="0">SUM(B3:L3)</f>
        <v>20</v>
      </c>
      <c r="O3" s="8" t="s">
        <v>37</v>
      </c>
    </row>
    <row r="4" spans="1:16" x14ac:dyDescent="0.25">
      <c r="A4" s="1" t="s">
        <v>2</v>
      </c>
      <c r="B4" s="1">
        <v>2</v>
      </c>
      <c r="C4" s="1">
        <v>3</v>
      </c>
      <c r="D4" s="1">
        <v>1</v>
      </c>
      <c r="E4" s="1">
        <v>1</v>
      </c>
      <c r="F4" s="1">
        <v>1</v>
      </c>
      <c r="G4" s="1">
        <v>1</v>
      </c>
      <c r="H4" s="1">
        <v>2</v>
      </c>
      <c r="I4" s="1">
        <v>2</v>
      </c>
      <c r="J4" s="1">
        <v>3</v>
      </c>
      <c r="K4" s="1">
        <v>2</v>
      </c>
      <c r="L4" s="1">
        <v>4</v>
      </c>
      <c r="M4" s="1">
        <f t="shared" si="0"/>
        <v>22</v>
      </c>
      <c r="O4" s="8" t="s">
        <v>39</v>
      </c>
    </row>
    <row r="5" spans="1:16" x14ac:dyDescent="0.25">
      <c r="A5" s="1" t="s">
        <v>3</v>
      </c>
      <c r="B5" s="1">
        <v>2</v>
      </c>
      <c r="C5" s="1">
        <v>1</v>
      </c>
      <c r="D5" s="1">
        <v>1</v>
      </c>
      <c r="E5" s="1">
        <v>1</v>
      </c>
      <c r="F5" s="1">
        <v>1</v>
      </c>
      <c r="G5" s="1">
        <v>3</v>
      </c>
      <c r="H5" s="1">
        <v>3</v>
      </c>
      <c r="I5" s="1">
        <v>1</v>
      </c>
      <c r="J5" s="1">
        <v>3</v>
      </c>
      <c r="K5" s="1">
        <v>3</v>
      </c>
      <c r="L5" s="1">
        <v>3</v>
      </c>
      <c r="M5" s="1">
        <f t="shared" si="0"/>
        <v>22</v>
      </c>
      <c r="O5" s="8" t="s">
        <v>40</v>
      </c>
    </row>
    <row r="6" spans="1:16" x14ac:dyDescent="0.25">
      <c r="A6" s="1" t="s">
        <v>4</v>
      </c>
      <c r="B6" s="1">
        <v>1</v>
      </c>
      <c r="C6" s="1">
        <v>2</v>
      </c>
      <c r="D6" s="1">
        <v>1</v>
      </c>
      <c r="E6" s="1">
        <v>1</v>
      </c>
      <c r="F6" s="1">
        <v>1</v>
      </c>
      <c r="G6" s="1">
        <v>1</v>
      </c>
      <c r="H6" s="1">
        <v>2</v>
      </c>
      <c r="I6" s="1">
        <v>1</v>
      </c>
      <c r="J6" s="1">
        <v>3</v>
      </c>
      <c r="K6" s="2">
        <v>2</v>
      </c>
      <c r="L6" s="1">
        <v>3</v>
      </c>
      <c r="M6" s="1">
        <f t="shared" si="0"/>
        <v>18</v>
      </c>
      <c r="O6" s="8" t="s">
        <v>41</v>
      </c>
    </row>
    <row r="7" spans="1:16" x14ac:dyDescent="0.25">
      <c r="A7" s="1" t="s">
        <v>5</v>
      </c>
      <c r="B7" s="1">
        <v>3</v>
      </c>
      <c r="C7" s="1">
        <v>3</v>
      </c>
      <c r="D7" s="1">
        <v>4</v>
      </c>
      <c r="E7" s="1">
        <v>2</v>
      </c>
      <c r="F7" s="1">
        <v>3</v>
      </c>
      <c r="G7" s="1">
        <v>2</v>
      </c>
      <c r="H7" s="1">
        <v>3</v>
      </c>
      <c r="I7" s="1">
        <v>3</v>
      </c>
      <c r="J7" s="1">
        <v>3</v>
      </c>
      <c r="K7" s="1">
        <v>3</v>
      </c>
      <c r="L7" s="1">
        <v>4</v>
      </c>
      <c r="M7" s="1">
        <f>SUM(B7:L7)</f>
        <v>33</v>
      </c>
      <c r="O7" s="8" t="s">
        <v>42</v>
      </c>
    </row>
    <row r="8" spans="1:16" ht="30" x14ac:dyDescent="0.25">
      <c r="A8" s="1" t="s">
        <v>6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3</v>
      </c>
      <c r="M8" s="1">
        <f t="shared" si="0"/>
        <v>13</v>
      </c>
      <c r="O8" s="9" t="s">
        <v>54</v>
      </c>
    </row>
    <row r="9" spans="1:16" ht="30" x14ac:dyDescent="0.25">
      <c r="A9" s="1" t="s">
        <v>7</v>
      </c>
      <c r="B9" s="1">
        <v>2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2</v>
      </c>
      <c r="J9" s="1">
        <v>2</v>
      </c>
      <c r="K9" s="1">
        <v>3</v>
      </c>
      <c r="L9" s="1">
        <v>4</v>
      </c>
      <c r="M9" s="1">
        <f t="shared" si="0"/>
        <v>19</v>
      </c>
      <c r="O9" s="9" t="s">
        <v>55</v>
      </c>
    </row>
    <row r="10" spans="1:16" x14ac:dyDescent="0.25">
      <c r="A10" s="1" t="s">
        <v>8</v>
      </c>
      <c r="B10" s="1">
        <v>3</v>
      </c>
      <c r="C10" s="1">
        <v>1</v>
      </c>
      <c r="D10" s="1">
        <v>1</v>
      </c>
      <c r="E10" s="1">
        <v>1</v>
      </c>
      <c r="F10" s="1">
        <v>1</v>
      </c>
      <c r="G10" s="1">
        <v>2</v>
      </c>
      <c r="H10" s="1">
        <v>1</v>
      </c>
      <c r="I10" s="1">
        <v>2</v>
      </c>
      <c r="J10" s="1">
        <v>1</v>
      </c>
      <c r="K10" s="1">
        <v>1</v>
      </c>
      <c r="L10" s="1">
        <v>3</v>
      </c>
      <c r="M10" s="1">
        <f t="shared" si="0"/>
        <v>17</v>
      </c>
      <c r="O10" s="9" t="s">
        <v>56</v>
      </c>
    </row>
    <row r="11" spans="1:16" x14ac:dyDescent="0.25">
      <c r="A11" s="1" t="s">
        <v>9</v>
      </c>
      <c r="B11" s="1">
        <v>2</v>
      </c>
      <c r="C11" s="1">
        <v>2</v>
      </c>
      <c r="D11" s="1">
        <v>1</v>
      </c>
      <c r="E11" s="1">
        <v>1</v>
      </c>
      <c r="F11" s="1">
        <v>1</v>
      </c>
      <c r="G11" s="1">
        <v>2</v>
      </c>
      <c r="H11" s="1">
        <v>2</v>
      </c>
      <c r="I11" s="1">
        <v>2</v>
      </c>
      <c r="J11" s="1">
        <v>2</v>
      </c>
      <c r="K11" s="1">
        <v>3</v>
      </c>
      <c r="L11" s="1">
        <v>4</v>
      </c>
      <c r="M11" s="1">
        <f t="shared" si="0"/>
        <v>22</v>
      </c>
      <c r="O11" s="9" t="s">
        <v>57</v>
      </c>
    </row>
    <row r="12" spans="1:16" x14ac:dyDescent="0.25">
      <c r="A12" s="1" t="s">
        <v>10</v>
      </c>
      <c r="B12" s="1">
        <v>2</v>
      </c>
      <c r="C12" s="1">
        <v>3</v>
      </c>
      <c r="D12" s="1">
        <v>2</v>
      </c>
      <c r="E12" s="1">
        <v>1</v>
      </c>
      <c r="F12" s="1">
        <v>2</v>
      </c>
      <c r="G12" s="1">
        <v>2</v>
      </c>
      <c r="H12" s="1">
        <v>3</v>
      </c>
      <c r="I12" s="1">
        <v>2</v>
      </c>
      <c r="J12" s="1">
        <v>3</v>
      </c>
      <c r="K12" s="1">
        <v>3</v>
      </c>
      <c r="L12" s="1">
        <v>3</v>
      </c>
      <c r="M12" s="1">
        <f t="shared" si="0"/>
        <v>26</v>
      </c>
      <c r="O12" s="9" t="s">
        <v>43</v>
      </c>
    </row>
    <row r="13" spans="1:16" x14ac:dyDescent="0.25">
      <c r="A13" s="1" t="s">
        <v>11</v>
      </c>
      <c r="B13" s="1">
        <v>2</v>
      </c>
      <c r="C13" s="1">
        <v>1</v>
      </c>
      <c r="D13" s="1">
        <v>1</v>
      </c>
      <c r="E13" s="1">
        <v>1</v>
      </c>
      <c r="F13" s="1">
        <v>1</v>
      </c>
      <c r="G13" s="1">
        <v>2</v>
      </c>
      <c r="H13" s="1">
        <v>3</v>
      </c>
      <c r="I13" s="1">
        <v>2</v>
      </c>
      <c r="J13" s="1">
        <v>3</v>
      </c>
      <c r="K13" s="1">
        <v>1</v>
      </c>
      <c r="L13" s="1">
        <v>4</v>
      </c>
      <c r="M13" s="1">
        <f t="shared" si="0"/>
        <v>21</v>
      </c>
    </row>
    <row r="14" spans="1:16" x14ac:dyDescent="0.25">
      <c r="A14" s="1" t="s">
        <v>12</v>
      </c>
      <c r="B14" s="1">
        <v>3</v>
      </c>
      <c r="C14" s="1">
        <v>2</v>
      </c>
      <c r="D14" s="1">
        <v>1</v>
      </c>
      <c r="E14" s="1">
        <v>1</v>
      </c>
      <c r="F14" s="1">
        <v>1</v>
      </c>
      <c r="G14" s="1">
        <v>1</v>
      </c>
      <c r="H14" s="1">
        <v>3</v>
      </c>
      <c r="I14" s="1">
        <v>2</v>
      </c>
      <c r="J14" s="1">
        <v>3</v>
      </c>
      <c r="K14" s="1">
        <v>3</v>
      </c>
      <c r="L14" s="1">
        <v>4</v>
      </c>
      <c r="M14" s="1">
        <f t="shared" si="0"/>
        <v>24</v>
      </c>
    </row>
    <row r="15" spans="1:16" x14ac:dyDescent="0.25">
      <c r="A15" s="1" t="s">
        <v>13</v>
      </c>
      <c r="B15" s="1">
        <v>3</v>
      </c>
      <c r="C15" s="1">
        <v>3</v>
      </c>
      <c r="D15" s="1">
        <v>4</v>
      </c>
      <c r="E15" s="1">
        <v>3</v>
      </c>
      <c r="F15" s="1">
        <v>1</v>
      </c>
      <c r="G15" s="1">
        <v>1</v>
      </c>
      <c r="H15" s="1">
        <v>1</v>
      </c>
      <c r="I15" s="1">
        <v>1</v>
      </c>
      <c r="J15" s="1">
        <v>3</v>
      </c>
      <c r="K15" s="1">
        <v>1</v>
      </c>
      <c r="L15" s="1">
        <v>3</v>
      </c>
      <c r="M15" s="1">
        <f t="shared" si="0"/>
        <v>24</v>
      </c>
    </row>
    <row r="16" spans="1:16" x14ac:dyDescent="0.25">
      <c r="A16" s="1" t="s">
        <v>14</v>
      </c>
      <c r="B16" s="1">
        <v>1</v>
      </c>
      <c r="C16" s="1">
        <v>1</v>
      </c>
      <c r="D16" s="1">
        <v>2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2</v>
      </c>
      <c r="K16" s="1">
        <v>1</v>
      </c>
      <c r="L16" s="1">
        <v>3</v>
      </c>
      <c r="M16" s="1">
        <f t="shared" si="0"/>
        <v>15</v>
      </c>
    </row>
    <row r="17" spans="1:13" x14ac:dyDescent="0.25">
      <c r="A17" s="2" t="s">
        <v>15</v>
      </c>
      <c r="B17" s="1">
        <v>2</v>
      </c>
      <c r="C17" s="1">
        <v>1</v>
      </c>
      <c r="D17" s="1">
        <v>2</v>
      </c>
      <c r="E17" s="1">
        <v>2</v>
      </c>
      <c r="F17" s="1">
        <v>1</v>
      </c>
      <c r="G17" s="1">
        <v>1</v>
      </c>
      <c r="H17" s="1">
        <v>1</v>
      </c>
      <c r="I17" s="1">
        <v>1</v>
      </c>
      <c r="J17" s="1">
        <v>3</v>
      </c>
      <c r="K17" s="1">
        <v>2</v>
      </c>
      <c r="L17" s="1">
        <v>1</v>
      </c>
      <c r="M17" s="1">
        <f t="shared" si="0"/>
        <v>17</v>
      </c>
    </row>
    <row r="18" spans="1:13" x14ac:dyDescent="0.25">
      <c r="A18" s="1" t="s">
        <v>16</v>
      </c>
      <c r="B18" s="1">
        <v>2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2</v>
      </c>
      <c r="I18" s="1">
        <v>1</v>
      </c>
      <c r="J18" s="1">
        <v>3</v>
      </c>
      <c r="K18" s="2">
        <v>2</v>
      </c>
      <c r="L18" s="1">
        <v>2</v>
      </c>
      <c r="M18" s="1">
        <f t="shared" si="0"/>
        <v>17</v>
      </c>
    </row>
    <row r="19" spans="1:13" x14ac:dyDescent="0.25">
      <c r="A19" s="1" t="s">
        <v>17</v>
      </c>
      <c r="B19" s="1">
        <v>1</v>
      </c>
      <c r="C19" s="1">
        <v>3</v>
      </c>
      <c r="D19" s="1">
        <v>4</v>
      </c>
      <c r="E19" s="1">
        <v>1</v>
      </c>
      <c r="F19" s="1">
        <v>1</v>
      </c>
      <c r="G19" s="1">
        <v>1</v>
      </c>
      <c r="H19" s="1">
        <v>1</v>
      </c>
      <c r="I19" s="1">
        <v>2</v>
      </c>
      <c r="J19" s="1">
        <v>4</v>
      </c>
      <c r="K19" s="1">
        <v>1</v>
      </c>
      <c r="L19" s="1">
        <v>3</v>
      </c>
      <c r="M19" s="1">
        <f t="shared" si="0"/>
        <v>22</v>
      </c>
    </row>
    <row r="20" spans="1:13" x14ac:dyDescent="0.25">
      <c r="A20" s="1" t="s">
        <v>18</v>
      </c>
      <c r="B20" s="1">
        <v>3</v>
      </c>
      <c r="C20" s="1">
        <v>4</v>
      </c>
      <c r="D20" s="1">
        <v>2</v>
      </c>
      <c r="E20" s="1">
        <v>2</v>
      </c>
      <c r="F20" s="1">
        <v>1</v>
      </c>
      <c r="G20" s="1">
        <v>3</v>
      </c>
      <c r="H20" s="1">
        <v>4</v>
      </c>
      <c r="I20" s="1">
        <v>1</v>
      </c>
      <c r="J20" s="1">
        <v>4</v>
      </c>
      <c r="K20" s="1">
        <v>3</v>
      </c>
      <c r="L20" s="1">
        <v>4</v>
      </c>
      <c r="M20" s="1">
        <f t="shared" si="0"/>
        <v>31</v>
      </c>
    </row>
    <row r="21" spans="1:13" x14ac:dyDescent="0.25">
      <c r="A21" s="1" t="s">
        <v>19</v>
      </c>
      <c r="B21" s="1">
        <v>3</v>
      </c>
      <c r="C21" s="1">
        <v>1</v>
      </c>
      <c r="D21" s="1">
        <v>1</v>
      </c>
      <c r="E21" s="1">
        <v>2</v>
      </c>
      <c r="F21" s="1">
        <v>1</v>
      </c>
      <c r="G21" s="1">
        <v>1</v>
      </c>
      <c r="H21" s="1">
        <v>1</v>
      </c>
      <c r="I21" s="1">
        <v>1</v>
      </c>
      <c r="J21" s="1">
        <v>2</v>
      </c>
      <c r="K21" s="1">
        <v>3</v>
      </c>
      <c r="L21" s="1">
        <v>4</v>
      </c>
      <c r="M21" s="1">
        <f t="shared" si="0"/>
        <v>20</v>
      </c>
    </row>
    <row r="22" spans="1:13" x14ac:dyDescent="0.25">
      <c r="A22" s="1" t="s">
        <v>20</v>
      </c>
      <c r="B22" s="1">
        <v>1</v>
      </c>
      <c r="C22" s="1">
        <v>2</v>
      </c>
      <c r="D22" s="1">
        <v>3</v>
      </c>
      <c r="E22" s="1">
        <v>1</v>
      </c>
      <c r="F22" s="1">
        <v>2</v>
      </c>
      <c r="G22" s="1">
        <v>2</v>
      </c>
      <c r="H22" s="1">
        <v>2</v>
      </c>
      <c r="I22" s="1">
        <v>2</v>
      </c>
      <c r="J22" s="1">
        <v>2</v>
      </c>
      <c r="K22" s="1">
        <v>1</v>
      </c>
      <c r="L22" s="1">
        <v>4</v>
      </c>
      <c r="M22" s="1">
        <f t="shared" si="0"/>
        <v>22</v>
      </c>
    </row>
    <row r="24" spans="1:13" x14ac:dyDescent="0.25">
      <c r="L24" s="1" t="s">
        <v>70</v>
      </c>
      <c r="M24" s="10">
        <f>AVERAGE(M2:M22)</f>
        <v>21.333333333333332</v>
      </c>
    </row>
    <row r="25" spans="1:13" x14ac:dyDescent="0.25">
      <c r="L25" s="1" t="s">
        <v>71</v>
      </c>
      <c r="M25" s="10">
        <f>_xlfn.STDEV.S(M2:M22)</f>
        <v>4.7784237289438138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IKDC</vt:lpstr>
      <vt:lpstr>ACL-RSI</vt:lpstr>
      <vt:lpstr>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Calisti Maite - Sportwissenschaft</dc:creator>
  <cp:lastModifiedBy>Calisti Maite - Sportwissenschaft</cp:lastModifiedBy>
  <dcterms:created xsi:type="dcterms:W3CDTF">2025-03-11T11:00:31Z</dcterms:created>
  <dcterms:modified xsi:type="dcterms:W3CDTF">2025-04-22T07:49:53Z</dcterms:modified>
</cp:coreProperties>
</file>