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ata\2024_data_paper_Maite\Figshare\Participants\"/>
    </mc:Choice>
  </mc:AlternateContent>
  <xr:revisionPtr revIDLastSave="0" documentId="13_ncr:1_{65356F8A-151A-4553-A359-7B43F36D7FF9}" xr6:coauthVersionLast="36" xr6:coauthVersionMax="36" xr10:uidLastSave="{00000000-0000-0000-0000-000000000000}"/>
  <bookViews>
    <workbookView xWindow="0" yWindow="0" windowWidth="28140" windowHeight="13635" xr2:uid="{25FB3827-B724-4304-9FC4-A34C68F0D44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AA29" i="1" l="1"/>
  <c r="AA49" i="1"/>
  <c r="AB49" i="1" s="1"/>
  <c r="M49" i="1"/>
  <c r="L49" i="1"/>
  <c r="I49" i="1"/>
  <c r="G49" i="1"/>
  <c r="AB48" i="1"/>
  <c r="AA48" i="1"/>
  <c r="M48" i="1"/>
  <c r="L48" i="1"/>
  <c r="I48" i="1"/>
  <c r="G48" i="1"/>
  <c r="AA47" i="1"/>
  <c r="AB47" i="1" s="1"/>
  <c r="M47" i="1"/>
  <c r="L47" i="1"/>
  <c r="I47" i="1"/>
  <c r="G47" i="1"/>
  <c r="AB46" i="1"/>
  <c r="AA46" i="1"/>
  <c r="M46" i="1"/>
  <c r="L46" i="1"/>
  <c r="I46" i="1"/>
  <c r="G46" i="1"/>
  <c r="AA45" i="1"/>
  <c r="AB45" i="1" s="1"/>
  <c r="M45" i="1"/>
  <c r="L45" i="1"/>
  <c r="I45" i="1"/>
  <c r="G45" i="1"/>
  <c r="AB44" i="1"/>
  <c r="AA44" i="1"/>
  <c r="M44" i="1"/>
  <c r="L44" i="1"/>
  <c r="I44" i="1"/>
  <c r="G44" i="1"/>
  <c r="AA43" i="1"/>
  <c r="AB43" i="1" s="1"/>
  <c r="M43" i="1"/>
  <c r="L43" i="1"/>
  <c r="I43" i="1"/>
  <c r="G43" i="1"/>
  <c r="AB42" i="1"/>
  <c r="AA42" i="1"/>
  <c r="M42" i="1"/>
  <c r="L42" i="1"/>
  <c r="I42" i="1"/>
  <c r="G42" i="1"/>
  <c r="AA41" i="1"/>
  <c r="AB41" i="1" s="1"/>
  <c r="M41" i="1"/>
  <c r="L41" i="1"/>
  <c r="I41" i="1"/>
  <c r="G41" i="1"/>
  <c r="AB40" i="1"/>
  <c r="AA40" i="1"/>
  <c r="M40" i="1"/>
  <c r="L40" i="1"/>
  <c r="I40" i="1"/>
  <c r="G40" i="1"/>
  <c r="AA39" i="1"/>
  <c r="AB39" i="1" s="1"/>
  <c r="M39" i="1"/>
  <c r="L39" i="1"/>
  <c r="I39" i="1"/>
  <c r="G39" i="1"/>
  <c r="AB38" i="1"/>
  <c r="AA38" i="1"/>
  <c r="M38" i="1"/>
  <c r="L38" i="1"/>
  <c r="I38" i="1"/>
  <c r="G38" i="1"/>
  <c r="AA37" i="1"/>
  <c r="AB37" i="1" s="1"/>
  <c r="M37" i="1"/>
  <c r="L37" i="1"/>
  <c r="I37" i="1"/>
  <c r="G37" i="1"/>
  <c r="AB36" i="1"/>
  <c r="AA36" i="1"/>
  <c r="M36" i="1"/>
  <c r="L36" i="1"/>
  <c r="I36" i="1"/>
  <c r="G36" i="1"/>
  <c r="AA35" i="1"/>
  <c r="AB35" i="1" s="1"/>
  <c r="M35" i="1"/>
  <c r="L35" i="1"/>
  <c r="I35" i="1"/>
  <c r="G35" i="1"/>
  <c r="AB34" i="1"/>
  <c r="AA34" i="1"/>
  <c r="M34" i="1"/>
  <c r="L34" i="1"/>
  <c r="I34" i="1"/>
  <c r="G34" i="1"/>
  <c r="AA33" i="1"/>
  <c r="AB33" i="1" s="1"/>
  <c r="M33" i="1"/>
  <c r="L33" i="1"/>
  <c r="I33" i="1"/>
  <c r="G33" i="1"/>
  <c r="AB32" i="1"/>
  <c r="AA32" i="1"/>
  <c r="M32" i="1"/>
  <c r="L32" i="1"/>
  <c r="I32" i="1"/>
  <c r="G32" i="1"/>
  <c r="AA31" i="1"/>
  <c r="AB31" i="1" s="1"/>
  <c r="M31" i="1"/>
  <c r="L31" i="1"/>
  <c r="I31" i="1"/>
  <c r="G31" i="1"/>
  <c r="AB30" i="1"/>
  <c r="AA30" i="1"/>
  <c r="M30" i="1"/>
  <c r="L30" i="1"/>
  <c r="I30" i="1"/>
  <c r="G30" i="1"/>
  <c r="AB29" i="1"/>
  <c r="M29" i="1"/>
  <c r="L29" i="1"/>
  <c r="I29" i="1"/>
  <c r="G29" i="1"/>
  <c r="M24" i="1"/>
  <c r="L24" i="1"/>
  <c r="I24" i="1"/>
  <c r="G24" i="1"/>
  <c r="M23" i="1"/>
  <c r="L23" i="1"/>
  <c r="I23" i="1"/>
  <c r="G23" i="1"/>
  <c r="M22" i="1"/>
  <c r="L22" i="1"/>
  <c r="I22" i="1"/>
  <c r="G22" i="1"/>
  <c r="M21" i="1"/>
  <c r="L21" i="1"/>
  <c r="I21" i="1"/>
  <c r="G21" i="1"/>
  <c r="M20" i="1"/>
  <c r="L20" i="1"/>
  <c r="I20" i="1"/>
  <c r="G20" i="1"/>
  <c r="M19" i="1"/>
  <c r="L19" i="1"/>
  <c r="I19" i="1"/>
  <c r="G19" i="1"/>
  <c r="M18" i="1"/>
  <c r="L18" i="1"/>
  <c r="I18" i="1"/>
  <c r="G18" i="1"/>
  <c r="M17" i="1"/>
  <c r="L17" i="1"/>
  <c r="I17" i="1"/>
  <c r="G17" i="1"/>
  <c r="M16" i="1"/>
  <c r="L16" i="1"/>
  <c r="I16" i="1"/>
  <c r="G16" i="1"/>
  <c r="M15" i="1"/>
  <c r="L15" i="1"/>
  <c r="I15" i="1"/>
  <c r="G15" i="1"/>
  <c r="M14" i="1"/>
  <c r="L14" i="1"/>
  <c r="I14" i="1"/>
  <c r="G14" i="1"/>
  <c r="M13" i="1"/>
  <c r="L13" i="1"/>
  <c r="I13" i="1"/>
  <c r="G13" i="1"/>
  <c r="M12" i="1"/>
  <c r="L12" i="1"/>
  <c r="I12" i="1"/>
  <c r="G12" i="1"/>
  <c r="M11" i="1"/>
  <c r="L11" i="1"/>
  <c r="I11" i="1"/>
  <c r="G11" i="1"/>
  <c r="M10" i="1"/>
  <c r="L10" i="1"/>
  <c r="I10" i="1"/>
  <c r="G10" i="1"/>
  <c r="M9" i="1"/>
  <c r="L9" i="1"/>
  <c r="I9" i="1"/>
  <c r="G9" i="1"/>
  <c r="M8" i="1"/>
  <c r="L8" i="1"/>
  <c r="I8" i="1"/>
  <c r="G8" i="1"/>
  <c r="M7" i="1"/>
  <c r="L7" i="1"/>
  <c r="I7" i="1"/>
  <c r="G7" i="1"/>
  <c r="M6" i="1"/>
  <c r="L6" i="1"/>
  <c r="I6" i="1"/>
  <c r="G6" i="1"/>
  <c r="M5" i="1"/>
  <c r="L5" i="1"/>
  <c r="I5" i="1"/>
  <c r="G5" i="1"/>
  <c r="M4" i="1"/>
  <c r="L4" i="1"/>
  <c r="I4" i="1"/>
  <c r="G4" i="1"/>
  <c r="M3" i="1"/>
  <c r="I3" i="1"/>
  <c r="G3" i="1"/>
</calcChain>
</file>

<file path=xl/sharedStrings.xml><?xml version="1.0" encoding="utf-8"?>
<sst xmlns="http://schemas.openxmlformats.org/spreadsheetml/2006/main" count="162" uniqueCount="118">
  <si>
    <t xml:space="preserve">Control group </t>
  </si>
  <si>
    <t xml:space="preserve">participants </t>
  </si>
  <si>
    <t>group (ACLG=1 ; CG=2)</t>
  </si>
  <si>
    <t>Gender (female=1; male=2)</t>
  </si>
  <si>
    <t xml:space="preserve">Age </t>
  </si>
  <si>
    <t>Height (m)</t>
  </si>
  <si>
    <t>Weight (kg)</t>
  </si>
  <si>
    <t xml:space="preserve">BMI </t>
  </si>
  <si>
    <t>Leg length (cm)</t>
  </si>
  <si>
    <t xml:space="preserve">50% of leg length </t>
  </si>
  <si>
    <t xml:space="preserve">Jumping height pre fatigue (cm) </t>
  </si>
  <si>
    <t xml:space="preserve">Jumping height post fatigue (cm)  </t>
  </si>
  <si>
    <t xml:space="preserve">Criteria 20% below maximal jumping height </t>
  </si>
  <si>
    <t>Criteria 10% below maximal jumping height and BORG CR11 &gt;5</t>
  </si>
  <si>
    <t xml:space="preserve">BORG CR10 pre fatigue </t>
  </si>
  <si>
    <t>BORG CR10 post fatigue</t>
  </si>
  <si>
    <t>Leg dominance (right=1, left=2)</t>
  </si>
  <si>
    <t>Fatigued leg (1= right, 2= left)</t>
  </si>
  <si>
    <t xml:space="preserve">Physical activity (day/week) </t>
  </si>
  <si>
    <t>Duration of session (minutes )</t>
  </si>
  <si>
    <t xml:space="preserve">Main physical activity </t>
  </si>
  <si>
    <t>sub01</t>
  </si>
  <si>
    <t>Ski Alpine</t>
  </si>
  <si>
    <t>sub02</t>
  </si>
  <si>
    <t>Strength training</t>
  </si>
  <si>
    <t>sub03</t>
  </si>
  <si>
    <t>Road biking</t>
  </si>
  <si>
    <t xml:space="preserve">sub04 </t>
  </si>
  <si>
    <t>Running</t>
  </si>
  <si>
    <t>sub06</t>
  </si>
  <si>
    <t>Climbing, Skiing</t>
  </si>
  <si>
    <t>sub07</t>
  </si>
  <si>
    <t>sub08</t>
  </si>
  <si>
    <t>Skiing, Gymnastics</t>
  </si>
  <si>
    <t>sub09</t>
  </si>
  <si>
    <t>Running, Cycling</t>
  </si>
  <si>
    <t>sub10</t>
  </si>
  <si>
    <t>Football</t>
  </si>
  <si>
    <t>sub14</t>
  </si>
  <si>
    <t>Climbing</t>
  </si>
  <si>
    <t>sub15</t>
  </si>
  <si>
    <t>Tennis</t>
  </si>
  <si>
    <t>sub16</t>
  </si>
  <si>
    <t>sub17</t>
  </si>
  <si>
    <t>sub19</t>
  </si>
  <si>
    <t>figure skating, MTB, hiking</t>
  </si>
  <si>
    <t>sub21</t>
  </si>
  <si>
    <t>Tennis, Volleyball</t>
  </si>
  <si>
    <t xml:space="preserve">sub22 </t>
  </si>
  <si>
    <t xml:space="preserve">sub23 </t>
  </si>
  <si>
    <t>Hiking, Running, Biking</t>
  </si>
  <si>
    <t>sub24</t>
  </si>
  <si>
    <t>Volleyball, Skiing</t>
  </si>
  <si>
    <t>sub26</t>
  </si>
  <si>
    <t xml:space="preserve">Volleyball </t>
  </si>
  <si>
    <t>sub28</t>
  </si>
  <si>
    <t>Swimming</t>
  </si>
  <si>
    <t>sub30</t>
  </si>
  <si>
    <t>sub34</t>
  </si>
  <si>
    <t xml:space="preserve">ACL group </t>
  </si>
  <si>
    <t xml:space="preserve">Fatigued leg = ACL leg (right = 1 ; left =2) </t>
  </si>
  <si>
    <t>ACL injury (right=1,left=2)</t>
  </si>
  <si>
    <t>Course of injury</t>
  </si>
  <si>
    <t>Reconstruction (Yes=1, No=2)</t>
  </si>
  <si>
    <t>Meniscectomy (Yes=1, No=2)</t>
  </si>
  <si>
    <t>Year of Injury</t>
  </si>
  <si>
    <t>Time from injury (years)</t>
  </si>
  <si>
    <t xml:space="preserve">in months </t>
  </si>
  <si>
    <t>Level of activity regained (Yes=1, No=2)</t>
  </si>
  <si>
    <t>Rehab in months</t>
  </si>
  <si>
    <t>Duration of physio sessions (minutes)</t>
  </si>
  <si>
    <t>sub11</t>
  </si>
  <si>
    <t xml:space="preserve">Home workouts </t>
  </si>
  <si>
    <t>Skiing</t>
  </si>
  <si>
    <t>NaN</t>
  </si>
  <si>
    <t>sub12</t>
  </si>
  <si>
    <t>sub13</t>
  </si>
  <si>
    <t>Horse riding</t>
  </si>
  <si>
    <t xml:space="preserve">sub18 </t>
  </si>
  <si>
    <t>Cycling</t>
  </si>
  <si>
    <t>Bouldering</t>
  </si>
  <si>
    <t>sub20</t>
  </si>
  <si>
    <t>Skiing, Hiking, Cycling</t>
  </si>
  <si>
    <t xml:space="preserve">sub25 </t>
  </si>
  <si>
    <t>Athletics</t>
  </si>
  <si>
    <t>Trampoline</t>
  </si>
  <si>
    <t xml:space="preserve">sub27 </t>
  </si>
  <si>
    <t xml:space="preserve">Skiing </t>
  </si>
  <si>
    <t xml:space="preserve">sub29 </t>
  </si>
  <si>
    <t>sub31</t>
  </si>
  <si>
    <t>MTB, Skiing, Hiking, Volleyball</t>
  </si>
  <si>
    <t>sub32</t>
  </si>
  <si>
    <t>Hurdling</t>
  </si>
  <si>
    <t xml:space="preserve">sub33 </t>
  </si>
  <si>
    <t>Volleyball</t>
  </si>
  <si>
    <t>Jump</t>
  </si>
  <si>
    <t>sub35</t>
  </si>
  <si>
    <t>Hiking, Hill running</t>
  </si>
  <si>
    <t>sub36</t>
  </si>
  <si>
    <t>Cycling, Skiing</t>
  </si>
  <si>
    <t>sub37</t>
  </si>
  <si>
    <t>Skitour</t>
  </si>
  <si>
    <t>sub38</t>
  </si>
  <si>
    <t xml:space="preserve">Cycling, Running, Skiing </t>
  </si>
  <si>
    <t>Skiing, Floor gymnastics</t>
  </si>
  <si>
    <t>sub39</t>
  </si>
  <si>
    <t>Basketball</t>
  </si>
  <si>
    <t>sub40</t>
  </si>
  <si>
    <t>Mountain sports</t>
  </si>
  <si>
    <t>Beachvolleyball</t>
  </si>
  <si>
    <t>sub41</t>
  </si>
  <si>
    <t>sub42</t>
  </si>
  <si>
    <t>Wrestling</t>
  </si>
  <si>
    <t>sub43</t>
  </si>
  <si>
    <t>Handball jump</t>
  </si>
  <si>
    <t xml:space="preserve">sub44 </t>
  </si>
  <si>
    <t>Calesthenics</t>
  </si>
  <si>
    <t>Graft type (1= PT, 2=STG, 3=QT, NaN= conservative)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</si>
</sst>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Fill="1" applyBorder="1"/>
    <xf numFmtId="2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2" fontId="0" fillId="5" borderId="1" xfId="0" applyNumberFormat="1" applyFill="1" applyBorder="1"/>
    <xf numFmtId="0" fontId="1" fillId="0" borderId="0" xfId="0" applyFont="1"/>
    <xf numFmtId="0" fontId="0" fillId="2" borderId="2" xfId="0" applyFill="1" applyBorder="1"/>
    <xf numFmtId="0" fontId="0" fillId="0" borderId="2" xfId="0" applyBorder="1"/>
    <xf numFmtId="0" fontId="0" fillId="0" borderId="0" xfId="0" applyFill="1" applyBorder="1"/>
    <xf numFmtId="2" fontId="0" fillId="0" borderId="1" xfId="0" applyNumberFormat="1" applyFill="1" applyBorder="1"/>
    <xf numFmtId="164" fontId="0" fillId="0" borderId="1" xfId="0" applyNumberFormat="1" applyFill="1" applyBorder="1"/>
    <xf numFmtId="0" fontId="0" fillId="0" borderId="2" xfId="0" applyFill="1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2436-A2C7-4B6A-AF8A-60DF0DC0DB06}">
  <dimension ref="A1:AE49"/>
  <sheetViews>
    <sheetView tabSelected="1" zoomScale="78" zoomScaleNormal="78" workbookViewId="0">
      <selection activeCell="K37" sqref="K37"/>
    </sheetView>
  </sheetViews>
  <sheetFormatPr baseColWidth="10" defaultRowHeight="15" x14ac:dyDescent="0.25"/>
  <cols>
    <col min="1" max="1" width="13.5703125" bestFit="1" customWidth="1"/>
    <col min="12" max="12" width="40.5703125" bestFit="1" customWidth="1"/>
    <col min="13" max="13" width="56.85546875" bestFit="1" customWidth="1"/>
    <col min="20" max="20" width="28.140625" bestFit="1" customWidth="1"/>
    <col min="23" max="23" width="11.42578125" customWidth="1"/>
    <col min="24" max="24" width="25.28515625" bestFit="1" customWidth="1"/>
  </cols>
  <sheetData>
    <row r="1" spans="1:31" x14ac:dyDescent="0.25">
      <c r="A1" s="11" t="s">
        <v>0</v>
      </c>
    </row>
    <row r="2" spans="1:3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2" t="s">
        <v>20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s="18" customFormat="1" x14ac:dyDescent="0.25">
      <c r="A3" s="5" t="s">
        <v>21</v>
      </c>
      <c r="B3" s="5">
        <v>2</v>
      </c>
      <c r="C3" s="5">
        <v>1</v>
      </c>
      <c r="D3" s="5">
        <v>27</v>
      </c>
      <c r="E3" s="5">
        <v>1.65</v>
      </c>
      <c r="F3" s="5">
        <v>58</v>
      </c>
      <c r="G3" s="15">
        <f t="shared" ref="G3:G24" si="0">F3/(E3)^2</f>
        <v>21.30394857667585</v>
      </c>
      <c r="H3" s="5">
        <v>86</v>
      </c>
      <c r="I3" s="5">
        <f>H3/2</f>
        <v>43</v>
      </c>
      <c r="J3" s="5">
        <v>14.4</v>
      </c>
      <c r="K3" s="5">
        <v>11.7</v>
      </c>
      <c r="L3" s="16">
        <f>J3*0.8</f>
        <v>11.520000000000001</v>
      </c>
      <c r="M3" s="16">
        <f>J3*0.9</f>
        <v>12.96</v>
      </c>
      <c r="N3" s="5">
        <v>1</v>
      </c>
      <c r="O3" s="5">
        <v>10.3</v>
      </c>
      <c r="P3" s="5">
        <v>1</v>
      </c>
      <c r="Q3" s="5">
        <v>2</v>
      </c>
      <c r="R3" s="5">
        <v>5</v>
      </c>
      <c r="S3" s="5">
        <v>120</v>
      </c>
      <c r="T3" s="17" t="s">
        <v>22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x14ac:dyDescent="0.25">
      <c r="A4" s="2" t="s">
        <v>23</v>
      </c>
      <c r="B4" s="2">
        <v>2</v>
      </c>
      <c r="C4" s="2">
        <v>1</v>
      </c>
      <c r="D4" s="2">
        <v>25</v>
      </c>
      <c r="E4" s="2">
        <v>1.7</v>
      </c>
      <c r="F4" s="2">
        <v>62</v>
      </c>
      <c r="G4" s="3">
        <f t="shared" si="0"/>
        <v>21.453287197231838</v>
      </c>
      <c r="H4" s="2">
        <v>92</v>
      </c>
      <c r="I4" s="2">
        <f>H4/2</f>
        <v>46</v>
      </c>
      <c r="J4" s="2">
        <v>9.73</v>
      </c>
      <c r="K4" s="2">
        <v>7.8</v>
      </c>
      <c r="L4" s="4">
        <f>J4*0.8</f>
        <v>7.7840000000000007</v>
      </c>
      <c r="M4" s="4">
        <f>J4*0.9</f>
        <v>8.7570000000000014</v>
      </c>
      <c r="N4" s="4">
        <v>1</v>
      </c>
      <c r="O4" s="4">
        <v>5.3</v>
      </c>
      <c r="P4" s="2">
        <v>1</v>
      </c>
      <c r="Q4" s="2">
        <v>2</v>
      </c>
      <c r="R4" s="2">
        <v>5</v>
      </c>
      <c r="S4" s="2">
        <v>60</v>
      </c>
      <c r="T4" s="13" t="s">
        <v>24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x14ac:dyDescent="0.25">
      <c r="A5" s="2" t="s">
        <v>25</v>
      </c>
      <c r="B5" s="2">
        <v>2</v>
      </c>
      <c r="C5" s="2">
        <v>2</v>
      </c>
      <c r="D5" s="2">
        <v>29</v>
      </c>
      <c r="E5" s="2">
        <v>1.8</v>
      </c>
      <c r="F5" s="2">
        <v>62</v>
      </c>
      <c r="G5" s="3">
        <f t="shared" si="0"/>
        <v>19.1358024691358</v>
      </c>
      <c r="H5" s="2">
        <v>98</v>
      </c>
      <c r="I5" s="2">
        <f>H5/2</f>
        <v>49</v>
      </c>
      <c r="J5" s="2">
        <v>6.97</v>
      </c>
      <c r="K5" s="2">
        <v>4.9000000000000004</v>
      </c>
      <c r="L5" s="4">
        <f t="shared" ref="L5:L24" si="1">J5*0.8</f>
        <v>5.5760000000000005</v>
      </c>
      <c r="M5" s="4">
        <f t="shared" ref="M5:M24" si="2">J5*0.9</f>
        <v>6.2729999999999997</v>
      </c>
      <c r="N5" s="2">
        <v>1</v>
      </c>
      <c r="O5" s="2">
        <v>8</v>
      </c>
      <c r="P5" s="2">
        <v>1</v>
      </c>
      <c r="Q5" s="2">
        <v>2</v>
      </c>
      <c r="R5" s="2">
        <v>6</v>
      </c>
      <c r="S5" s="2">
        <v>120</v>
      </c>
      <c r="T5" s="13" t="s">
        <v>26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x14ac:dyDescent="0.25">
      <c r="A6" s="2" t="s">
        <v>27</v>
      </c>
      <c r="B6" s="2">
        <v>2</v>
      </c>
      <c r="C6" s="2">
        <v>1</v>
      </c>
      <c r="D6" s="2">
        <v>27</v>
      </c>
      <c r="E6" s="2">
        <v>1.71</v>
      </c>
      <c r="F6" s="2">
        <v>62</v>
      </c>
      <c r="G6" s="3">
        <f t="shared" si="0"/>
        <v>21.203105228959341</v>
      </c>
      <c r="H6" s="5">
        <v>88</v>
      </c>
      <c r="I6" s="5">
        <f>H6/2</f>
        <v>44</v>
      </c>
      <c r="J6" s="2">
        <v>13.83</v>
      </c>
      <c r="K6" s="2">
        <v>6.63</v>
      </c>
      <c r="L6" s="4">
        <f t="shared" si="1"/>
        <v>11.064</v>
      </c>
      <c r="M6" s="4">
        <f t="shared" si="2"/>
        <v>12.447000000000001</v>
      </c>
      <c r="N6" s="2">
        <v>2</v>
      </c>
      <c r="O6" s="2">
        <v>5</v>
      </c>
      <c r="P6" s="2">
        <v>1</v>
      </c>
      <c r="Q6" s="2">
        <v>2</v>
      </c>
      <c r="R6" s="2">
        <v>4</v>
      </c>
      <c r="S6" s="2">
        <v>60</v>
      </c>
      <c r="T6" s="13" t="s">
        <v>28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x14ac:dyDescent="0.25">
      <c r="A7" s="2" t="s">
        <v>29</v>
      </c>
      <c r="B7" s="2">
        <v>2</v>
      </c>
      <c r="C7" s="2">
        <v>1</v>
      </c>
      <c r="D7" s="2">
        <v>21</v>
      </c>
      <c r="E7" s="2">
        <v>1.62</v>
      </c>
      <c r="F7" s="2">
        <v>64</v>
      </c>
      <c r="G7" s="3">
        <f t="shared" si="0"/>
        <v>24.386526444139609</v>
      </c>
      <c r="H7" s="2">
        <v>85</v>
      </c>
      <c r="I7" s="2">
        <f>H7/2</f>
        <v>42.5</v>
      </c>
      <c r="J7" s="2">
        <v>11.27</v>
      </c>
      <c r="K7" s="2">
        <v>8.76</v>
      </c>
      <c r="L7" s="4">
        <f t="shared" si="1"/>
        <v>9.016</v>
      </c>
      <c r="M7" s="4">
        <f t="shared" si="2"/>
        <v>10.143000000000001</v>
      </c>
      <c r="N7" s="2">
        <v>0</v>
      </c>
      <c r="O7" s="2">
        <v>8.6</v>
      </c>
      <c r="P7" s="2">
        <v>1</v>
      </c>
      <c r="Q7" s="2">
        <v>1</v>
      </c>
      <c r="R7" s="2">
        <v>3.5</v>
      </c>
      <c r="S7" s="2">
        <v>150</v>
      </c>
      <c r="T7" s="13" t="s">
        <v>30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x14ac:dyDescent="0.25">
      <c r="A8" s="2" t="s">
        <v>31</v>
      </c>
      <c r="B8" s="2">
        <v>2</v>
      </c>
      <c r="C8" s="2">
        <v>1</v>
      </c>
      <c r="D8" s="2">
        <v>27</v>
      </c>
      <c r="E8" s="2">
        <v>1.58</v>
      </c>
      <c r="F8" s="2">
        <v>50</v>
      </c>
      <c r="G8" s="3">
        <f t="shared" si="0"/>
        <v>20.028841531805796</v>
      </c>
      <c r="H8" s="2">
        <v>87</v>
      </c>
      <c r="I8" s="2">
        <f t="shared" ref="I8:I11" si="3">H8/2</f>
        <v>43.5</v>
      </c>
      <c r="J8" s="2">
        <v>11.47</v>
      </c>
      <c r="K8" s="2">
        <v>9.3000000000000007</v>
      </c>
      <c r="L8" s="4">
        <f t="shared" si="1"/>
        <v>9.1760000000000002</v>
      </c>
      <c r="M8" s="4">
        <f t="shared" si="2"/>
        <v>10.323</v>
      </c>
      <c r="N8" s="2">
        <v>1</v>
      </c>
      <c r="O8" s="2">
        <v>8</v>
      </c>
      <c r="P8" s="2">
        <v>1</v>
      </c>
      <c r="Q8" s="2">
        <v>1</v>
      </c>
      <c r="R8" s="2">
        <v>4</v>
      </c>
      <c r="S8" s="2">
        <v>120</v>
      </c>
      <c r="T8" s="13" t="s">
        <v>30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x14ac:dyDescent="0.25">
      <c r="A9" s="2" t="s">
        <v>32</v>
      </c>
      <c r="B9" s="2">
        <v>2</v>
      </c>
      <c r="C9" s="2">
        <v>1</v>
      </c>
      <c r="D9" s="2">
        <v>19</v>
      </c>
      <c r="E9" s="2">
        <v>1.66</v>
      </c>
      <c r="F9" s="2">
        <v>53</v>
      </c>
      <c r="G9" s="3">
        <f t="shared" si="0"/>
        <v>19.233560749020178</v>
      </c>
      <c r="H9" s="2">
        <v>88</v>
      </c>
      <c r="I9" s="2">
        <f t="shared" si="3"/>
        <v>44</v>
      </c>
      <c r="J9" s="2">
        <v>11.4</v>
      </c>
      <c r="K9" s="2">
        <v>7.7</v>
      </c>
      <c r="L9" s="4">
        <f t="shared" si="1"/>
        <v>9.120000000000001</v>
      </c>
      <c r="M9" s="4">
        <f t="shared" si="2"/>
        <v>10.26</v>
      </c>
      <c r="N9" s="2">
        <v>0</v>
      </c>
      <c r="O9" s="2">
        <v>7</v>
      </c>
      <c r="P9" s="2">
        <v>1</v>
      </c>
      <c r="Q9" s="2">
        <v>1</v>
      </c>
      <c r="R9" s="2">
        <v>6.5</v>
      </c>
      <c r="S9" s="2">
        <v>90</v>
      </c>
      <c r="T9" s="13" t="s">
        <v>33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x14ac:dyDescent="0.25">
      <c r="A10" s="2" t="s">
        <v>34</v>
      </c>
      <c r="B10" s="2">
        <v>2</v>
      </c>
      <c r="C10" s="2">
        <v>2</v>
      </c>
      <c r="D10" s="2">
        <v>27</v>
      </c>
      <c r="E10" s="2">
        <v>1.91</v>
      </c>
      <c r="F10" s="2">
        <v>100</v>
      </c>
      <c r="G10" s="3">
        <f t="shared" si="0"/>
        <v>27.411529289219047</v>
      </c>
      <c r="H10" s="2">
        <v>103</v>
      </c>
      <c r="I10" s="2">
        <f t="shared" si="3"/>
        <v>51.5</v>
      </c>
      <c r="J10" s="2">
        <v>13.33</v>
      </c>
      <c r="K10" s="2">
        <v>11.2</v>
      </c>
      <c r="L10" s="4">
        <f t="shared" si="1"/>
        <v>10.664000000000001</v>
      </c>
      <c r="M10" s="4">
        <f t="shared" si="2"/>
        <v>11.997</v>
      </c>
      <c r="N10" s="2">
        <v>0.5</v>
      </c>
      <c r="O10" s="2">
        <v>5.6</v>
      </c>
      <c r="P10" s="2">
        <v>1</v>
      </c>
      <c r="Q10" s="2">
        <v>2</v>
      </c>
      <c r="R10" s="2">
        <v>3.5</v>
      </c>
      <c r="S10" s="2">
        <v>75</v>
      </c>
      <c r="T10" s="13" t="s">
        <v>35</v>
      </c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x14ac:dyDescent="0.25">
      <c r="A11" s="2" t="s">
        <v>36</v>
      </c>
      <c r="B11" s="2">
        <v>2</v>
      </c>
      <c r="C11" s="2">
        <v>2</v>
      </c>
      <c r="D11" s="2">
        <v>30</v>
      </c>
      <c r="E11" s="2">
        <v>1.8</v>
      </c>
      <c r="F11" s="2">
        <v>88</v>
      </c>
      <c r="G11" s="3">
        <f t="shared" si="0"/>
        <v>27.160493827160494</v>
      </c>
      <c r="H11" s="2">
        <v>97</v>
      </c>
      <c r="I11" s="2">
        <f t="shared" si="3"/>
        <v>48.5</v>
      </c>
      <c r="J11" s="2">
        <v>12.03</v>
      </c>
      <c r="K11" s="2">
        <v>9.23</v>
      </c>
      <c r="L11" s="4">
        <f t="shared" si="1"/>
        <v>9.6240000000000006</v>
      </c>
      <c r="M11" s="4">
        <f t="shared" si="2"/>
        <v>10.827</v>
      </c>
      <c r="N11" s="2">
        <v>0.7</v>
      </c>
      <c r="O11" s="2">
        <v>8.6</v>
      </c>
      <c r="P11" s="2">
        <v>1</v>
      </c>
      <c r="Q11" s="2">
        <v>2</v>
      </c>
      <c r="R11" s="2">
        <v>6</v>
      </c>
      <c r="S11" s="2">
        <v>90</v>
      </c>
      <c r="T11" s="13" t="s">
        <v>37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x14ac:dyDescent="0.25">
      <c r="A12" s="2" t="s">
        <v>38</v>
      </c>
      <c r="B12" s="2">
        <v>2</v>
      </c>
      <c r="C12" s="2">
        <v>1</v>
      </c>
      <c r="D12" s="2">
        <v>28</v>
      </c>
      <c r="E12" s="2">
        <v>1.58</v>
      </c>
      <c r="F12" s="2">
        <v>51</v>
      </c>
      <c r="G12" s="3">
        <f t="shared" si="0"/>
        <v>20.429418362441915</v>
      </c>
      <c r="H12" s="2">
        <v>85</v>
      </c>
      <c r="I12" s="2">
        <f>H12/2</f>
        <v>42.5</v>
      </c>
      <c r="J12" s="2">
        <v>11.1</v>
      </c>
      <c r="K12" s="2">
        <v>9.8000000000000007</v>
      </c>
      <c r="L12" s="4">
        <f t="shared" si="1"/>
        <v>8.8800000000000008</v>
      </c>
      <c r="M12" s="4">
        <f t="shared" si="2"/>
        <v>9.99</v>
      </c>
      <c r="N12" s="2">
        <v>0.5</v>
      </c>
      <c r="O12" s="2">
        <v>6</v>
      </c>
      <c r="P12" s="2">
        <v>1</v>
      </c>
      <c r="Q12" s="2">
        <v>1</v>
      </c>
      <c r="R12" s="2">
        <v>5</v>
      </c>
      <c r="S12" s="2">
        <v>30</v>
      </c>
      <c r="T12" s="13" t="s">
        <v>39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x14ac:dyDescent="0.25">
      <c r="A13" s="2" t="s">
        <v>40</v>
      </c>
      <c r="B13" s="2">
        <v>2</v>
      </c>
      <c r="C13" s="2">
        <v>1</v>
      </c>
      <c r="D13" s="2">
        <v>23</v>
      </c>
      <c r="E13" s="2">
        <v>1.57</v>
      </c>
      <c r="F13" s="2">
        <v>52</v>
      </c>
      <c r="G13" s="3">
        <f t="shared" si="0"/>
        <v>21.096190514828187</v>
      </c>
      <c r="H13" s="2">
        <v>82</v>
      </c>
      <c r="I13" s="2">
        <f>H13/2</f>
        <v>41</v>
      </c>
      <c r="J13" s="2">
        <v>8.4</v>
      </c>
      <c r="K13" s="2">
        <v>7.1</v>
      </c>
      <c r="L13" s="4">
        <f t="shared" si="1"/>
        <v>6.7200000000000006</v>
      </c>
      <c r="M13" s="4">
        <f t="shared" si="2"/>
        <v>7.5600000000000005</v>
      </c>
      <c r="N13" s="2">
        <v>0</v>
      </c>
      <c r="O13" s="2">
        <v>5</v>
      </c>
      <c r="P13" s="2">
        <v>2</v>
      </c>
      <c r="Q13" s="2">
        <v>1</v>
      </c>
      <c r="R13" s="2">
        <v>4</v>
      </c>
      <c r="S13" s="2">
        <v>60</v>
      </c>
      <c r="T13" s="13" t="s">
        <v>41</v>
      </c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x14ac:dyDescent="0.25">
      <c r="A14" s="2" t="s">
        <v>42</v>
      </c>
      <c r="B14" s="2">
        <v>2</v>
      </c>
      <c r="C14" s="2">
        <v>2</v>
      </c>
      <c r="D14" s="2">
        <v>25</v>
      </c>
      <c r="E14" s="2">
        <v>1.85</v>
      </c>
      <c r="F14" s="2">
        <v>72</v>
      </c>
      <c r="G14" s="3">
        <f t="shared" si="0"/>
        <v>21.037253469685901</v>
      </c>
      <c r="H14" s="2">
        <v>97</v>
      </c>
      <c r="I14" s="2">
        <f t="shared" ref="I14:I24" si="4">H14/2</f>
        <v>48.5</v>
      </c>
      <c r="J14" s="2">
        <v>12</v>
      </c>
      <c r="K14" s="2">
        <v>9.8000000000000007</v>
      </c>
      <c r="L14" s="4">
        <f t="shared" si="1"/>
        <v>9.6000000000000014</v>
      </c>
      <c r="M14" s="4">
        <f t="shared" si="2"/>
        <v>10.8</v>
      </c>
      <c r="N14" s="2">
        <v>7</v>
      </c>
      <c r="O14" s="2">
        <v>6.6</v>
      </c>
      <c r="P14" s="2">
        <v>1</v>
      </c>
      <c r="Q14" s="2">
        <v>1</v>
      </c>
      <c r="R14" s="2">
        <v>4</v>
      </c>
      <c r="S14" s="2">
        <v>90</v>
      </c>
      <c r="T14" s="13" t="s">
        <v>28</v>
      </c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x14ac:dyDescent="0.25">
      <c r="A15" s="2" t="s">
        <v>43</v>
      </c>
      <c r="B15" s="2">
        <v>2</v>
      </c>
      <c r="C15" s="2">
        <v>1</v>
      </c>
      <c r="D15" s="2">
        <v>27</v>
      </c>
      <c r="E15" s="2">
        <v>1.6</v>
      </c>
      <c r="F15" s="2">
        <v>58</v>
      </c>
      <c r="G15" s="3">
        <f t="shared" si="0"/>
        <v>22.656249999999996</v>
      </c>
      <c r="H15" s="2">
        <v>86</v>
      </c>
      <c r="I15" s="2">
        <f t="shared" si="4"/>
        <v>43</v>
      </c>
      <c r="J15" s="2">
        <v>9.9</v>
      </c>
      <c r="K15" s="2">
        <v>7</v>
      </c>
      <c r="L15" s="4">
        <f t="shared" si="1"/>
        <v>7.9200000000000008</v>
      </c>
      <c r="M15" s="4">
        <f t="shared" si="2"/>
        <v>8.91</v>
      </c>
      <c r="N15" s="2">
        <v>0.3</v>
      </c>
      <c r="O15" s="4">
        <v>4.46</v>
      </c>
      <c r="P15" s="2">
        <v>1</v>
      </c>
      <c r="Q15" s="2">
        <v>1</v>
      </c>
      <c r="R15" s="2">
        <v>6</v>
      </c>
      <c r="S15" s="2">
        <v>120</v>
      </c>
      <c r="T15" s="13" t="s">
        <v>39</v>
      </c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x14ac:dyDescent="0.25">
      <c r="A16" s="2" t="s">
        <v>44</v>
      </c>
      <c r="B16" s="2">
        <v>2</v>
      </c>
      <c r="C16" s="2">
        <v>1</v>
      </c>
      <c r="D16" s="2">
        <v>31</v>
      </c>
      <c r="E16" s="2">
        <v>1.68</v>
      </c>
      <c r="F16" s="2">
        <v>62</v>
      </c>
      <c r="G16" s="3">
        <f t="shared" si="0"/>
        <v>21.9671201814059</v>
      </c>
      <c r="H16" s="2">
        <v>91</v>
      </c>
      <c r="I16" s="2">
        <f t="shared" si="4"/>
        <v>45.5</v>
      </c>
      <c r="J16" s="2">
        <v>9.4</v>
      </c>
      <c r="K16" s="2">
        <v>7.53</v>
      </c>
      <c r="L16" s="4">
        <f t="shared" si="1"/>
        <v>7.5200000000000005</v>
      </c>
      <c r="M16" s="4">
        <f t="shared" si="2"/>
        <v>8.4600000000000009</v>
      </c>
      <c r="N16" s="2">
        <v>0.5</v>
      </c>
      <c r="O16" s="2">
        <v>5.66</v>
      </c>
      <c r="P16" s="2">
        <v>1</v>
      </c>
      <c r="Q16" s="2">
        <v>2</v>
      </c>
      <c r="R16" s="2">
        <v>3</v>
      </c>
      <c r="S16" s="2">
        <v>60</v>
      </c>
      <c r="T16" s="13" t="s">
        <v>45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x14ac:dyDescent="0.25">
      <c r="A17" s="2" t="s">
        <v>46</v>
      </c>
      <c r="B17" s="2">
        <v>2</v>
      </c>
      <c r="C17" s="2">
        <v>2</v>
      </c>
      <c r="D17" s="2">
        <v>31</v>
      </c>
      <c r="E17" s="2">
        <v>1.85</v>
      </c>
      <c r="F17" s="2">
        <v>83</v>
      </c>
      <c r="G17" s="3">
        <f t="shared" si="0"/>
        <v>24.251278305332356</v>
      </c>
      <c r="H17" s="2">
        <v>97</v>
      </c>
      <c r="I17" s="2">
        <f t="shared" si="4"/>
        <v>48.5</v>
      </c>
      <c r="J17" s="2">
        <v>10.199999999999999</v>
      </c>
      <c r="K17" s="2">
        <v>7.9</v>
      </c>
      <c r="L17" s="4">
        <f t="shared" si="1"/>
        <v>8.16</v>
      </c>
      <c r="M17" s="4">
        <f t="shared" si="2"/>
        <v>9.18</v>
      </c>
      <c r="N17" s="2">
        <v>0</v>
      </c>
      <c r="O17" s="2">
        <v>5.6</v>
      </c>
      <c r="P17" s="2">
        <v>1</v>
      </c>
      <c r="Q17" s="2">
        <v>1</v>
      </c>
      <c r="R17" s="2">
        <v>4</v>
      </c>
      <c r="S17" s="2">
        <v>120</v>
      </c>
      <c r="T17" s="13" t="s">
        <v>47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x14ac:dyDescent="0.25">
      <c r="A18" s="2" t="s">
        <v>48</v>
      </c>
      <c r="B18" s="2">
        <v>2</v>
      </c>
      <c r="C18" s="2">
        <v>1</v>
      </c>
      <c r="D18" s="2">
        <v>28</v>
      </c>
      <c r="E18" s="2">
        <v>1.68</v>
      </c>
      <c r="F18" s="2">
        <v>60</v>
      </c>
      <c r="G18" s="3">
        <f t="shared" si="0"/>
        <v>21.258503401360546</v>
      </c>
      <c r="H18" s="2">
        <v>89</v>
      </c>
      <c r="I18" s="2">
        <f t="shared" si="4"/>
        <v>44.5</v>
      </c>
      <c r="J18" s="2">
        <v>8.6999999999999993</v>
      </c>
      <c r="K18" s="2">
        <v>6.13</v>
      </c>
      <c r="L18" s="4">
        <f t="shared" si="1"/>
        <v>6.96</v>
      </c>
      <c r="M18" s="4">
        <f t="shared" si="2"/>
        <v>7.8299999999999992</v>
      </c>
      <c r="N18" s="2">
        <v>2</v>
      </c>
      <c r="O18" s="2">
        <v>6.3</v>
      </c>
      <c r="P18" s="2">
        <v>1</v>
      </c>
      <c r="Q18" s="2">
        <v>1</v>
      </c>
      <c r="R18" s="2">
        <v>5</v>
      </c>
      <c r="S18" s="2">
        <v>120</v>
      </c>
      <c r="T18" s="13" t="s">
        <v>39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x14ac:dyDescent="0.25">
      <c r="A19" s="2" t="s">
        <v>49</v>
      </c>
      <c r="B19" s="2">
        <v>2</v>
      </c>
      <c r="C19" s="2">
        <v>1</v>
      </c>
      <c r="D19" s="2">
        <v>21</v>
      </c>
      <c r="E19" s="2">
        <v>1.65</v>
      </c>
      <c r="F19" s="2">
        <v>54</v>
      </c>
      <c r="G19" s="3">
        <f t="shared" si="0"/>
        <v>19.834710743801654</v>
      </c>
      <c r="H19" s="2">
        <v>86</v>
      </c>
      <c r="I19" s="2">
        <f t="shared" si="4"/>
        <v>43</v>
      </c>
      <c r="J19" s="2">
        <v>11.5</v>
      </c>
      <c r="K19" s="2">
        <v>9</v>
      </c>
      <c r="L19" s="4">
        <f t="shared" si="1"/>
        <v>9.2000000000000011</v>
      </c>
      <c r="M19" s="4">
        <f t="shared" si="2"/>
        <v>10.35</v>
      </c>
      <c r="N19" s="2">
        <v>2</v>
      </c>
      <c r="O19" s="2">
        <v>8</v>
      </c>
      <c r="P19" s="2">
        <v>1</v>
      </c>
      <c r="Q19" s="2">
        <v>2</v>
      </c>
      <c r="R19" s="2">
        <v>3</v>
      </c>
      <c r="S19" s="2">
        <v>120</v>
      </c>
      <c r="T19" s="13" t="s">
        <v>50</v>
      </c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x14ac:dyDescent="0.25">
      <c r="A20" s="2" t="s">
        <v>51</v>
      </c>
      <c r="B20" s="2">
        <v>2</v>
      </c>
      <c r="C20" s="2">
        <v>2</v>
      </c>
      <c r="D20" s="2">
        <v>27</v>
      </c>
      <c r="E20" s="2">
        <v>1.82</v>
      </c>
      <c r="F20" s="2">
        <v>82</v>
      </c>
      <c r="G20" s="3">
        <f t="shared" si="0"/>
        <v>24.755464315903875</v>
      </c>
      <c r="H20" s="2">
        <v>100</v>
      </c>
      <c r="I20" s="2">
        <f t="shared" si="4"/>
        <v>50</v>
      </c>
      <c r="J20" s="2">
        <v>17.8</v>
      </c>
      <c r="K20" s="2">
        <v>15.4</v>
      </c>
      <c r="L20" s="4">
        <f t="shared" si="1"/>
        <v>14.240000000000002</v>
      </c>
      <c r="M20" s="4">
        <f t="shared" si="2"/>
        <v>16.02</v>
      </c>
      <c r="N20" s="2">
        <v>2</v>
      </c>
      <c r="O20" s="2">
        <v>6</v>
      </c>
      <c r="P20" s="2">
        <v>1</v>
      </c>
      <c r="Q20" s="2">
        <v>1</v>
      </c>
      <c r="R20" s="2">
        <v>6</v>
      </c>
      <c r="S20" s="2">
        <v>90</v>
      </c>
      <c r="T20" s="13" t="s">
        <v>52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x14ac:dyDescent="0.25">
      <c r="A21" s="2" t="s">
        <v>53</v>
      </c>
      <c r="B21" s="2">
        <v>2</v>
      </c>
      <c r="C21" s="2">
        <v>2</v>
      </c>
      <c r="D21" s="2">
        <v>25</v>
      </c>
      <c r="E21" s="2">
        <v>1.79</v>
      </c>
      <c r="F21" s="2">
        <v>70</v>
      </c>
      <c r="G21" s="3">
        <f t="shared" si="0"/>
        <v>21.847008520333322</v>
      </c>
      <c r="H21" s="2">
        <v>93</v>
      </c>
      <c r="I21" s="2">
        <f t="shared" si="4"/>
        <v>46.5</v>
      </c>
      <c r="J21" s="2">
        <v>20.399999999999999</v>
      </c>
      <c r="K21" s="2">
        <v>18.059999999999999</v>
      </c>
      <c r="L21" s="4">
        <f t="shared" si="1"/>
        <v>16.32</v>
      </c>
      <c r="M21" s="4">
        <f t="shared" si="2"/>
        <v>18.36</v>
      </c>
      <c r="N21" s="2">
        <v>1.5</v>
      </c>
      <c r="O21" s="2">
        <v>6.6</v>
      </c>
      <c r="P21" s="2">
        <v>2</v>
      </c>
      <c r="Q21" s="2">
        <v>2</v>
      </c>
      <c r="R21" s="2">
        <v>6</v>
      </c>
      <c r="S21" s="2">
        <v>120</v>
      </c>
      <c r="T21" s="13" t="s">
        <v>54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x14ac:dyDescent="0.25">
      <c r="A22" s="2" t="s">
        <v>55</v>
      </c>
      <c r="B22" s="2">
        <v>2</v>
      </c>
      <c r="C22" s="2">
        <v>2</v>
      </c>
      <c r="D22" s="2">
        <v>28</v>
      </c>
      <c r="E22" s="2">
        <v>1.86</v>
      </c>
      <c r="F22" s="2">
        <v>96</v>
      </c>
      <c r="G22" s="3">
        <f t="shared" si="0"/>
        <v>27.748872702046476</v>
      </c>
      <c r="H22" s="2">
        <v>101</v>
      </c>
      <c r="I22" s="2">
        <f t="shared" si="4"/>
        <v>50.5</v>
      </c>
      <c r="J22" s="2">
        <v>17.8</v>
      </c>
      <c r="K22" s="2">
        <v>13.96</v>
      </c>
      <c r="L22" s="4">
        <f t="shared" si="1"/>
        <v>14.240000000000002</v>
      </c>
      <c r="M22" s="4">
        <f t="shared" si="2"/>
        <v>16.02</v>
      </c>
      <c r="N22" s="2">
        <v>0</v>
      </c>
      <c r="O22" s="2">
        <v>8</v>
      </c>
      <c r="P22" s="2">
        <v>1</v>
      </c>
      <c r="Q22" s="2">
        <v>2</v>
      </c>
      <c r="R22" s="2">
        <v>4</v>
      </c>
      <c r="S22" s="2">
        <v>120</v>
      </c>
      <c r="T22" s="13" t="s">
        <v>56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x14ac:dyDescent="0.25">
      <c r="A23" s="2" t="s">
        <v>57</v>
      </c>
      <c r="B23" s="2">
        <v>2</v>
      </c>
      <c r="C23" s="2">
        <v>2</v>
      </c>
      <c r="D23" s="2">
        <v>26</v>
      </c>
      <c r="E23" s="2">
        <v>1.89</v>
      </c>
      <c r="F23" s="2">
        <v>80</v>
      </c>
      <c r="G23" s="3">
        <f t="shared" si="0"/>
        <v>22.395789591556788</v>
      </c>
      <c r="H23" s="2">
        <v>100</v>
      </c>
      <c r="I23" s="2">
        <f t="shared" si="4"/>
        <v>50</v>
      </c>
      <c r="J23" s="2">
        <v>14</v>
      </c>
      <c r="K23" s="2">
        <v>9.6</v>
      </c>
      <c r="L23" s="4">
        <f t="shared" si="1"/>
        <v>11.200000000000001</v>
      </c>
      <c r="M23" s="4">
        <f t="shared" si="2"/>
        <v>12.6</v>
      </c>
      <c r="N23" s="2">
        <v>2</v>
      </c>
      <c r="O23" s="2">
        <v>6.3</v>
      </c>
      <c r="P23" s="2">
        <v>1</v>
      </c>
      <c r="Q23" s="2">
        <v>1</v>
      </c>
      <c r="R23" s="2">
        <v>3</v>
      </c>
      <c r="S23" s="2">
        <v>45</v>
      </c>
      <c r="T23" s="13" t="s">
        <v>24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x14ac:dyDescent="0.25">
      <c r="A24" s="2" t="s">
        <v>58</v>
      </c>
      <c r="B24" s="2">
        <v>2</v>
      </c>
      <c r="C24" s="2">
        <v>2</v>
      </c>
      <c r="D24" s="2">
        <v>30</v>
      </c>
      <c r="E24" s="2">
        <v>1.83</v>
      </c>
      <c r="F24" s="2">
        <v>78</v>
      </c>
      <c r="G24" s="3">
        <f t="shared" si="0"/>
        <v>23.291229956104985</v>
      </c>
      <c r="H24" s="2">
        <v>99</v>
      </c>
      <c r="I24" s="2">
        <f t="shared" si="4"/>
        <v>49.5</v>
      </c>
      <c r="J24" s="2">
        <v>15.6</v>
      </c>
      <c r="K24" s="2">
        <v>12.73</v>
      </c>
      <c r="L24" s="4">
        <f t="shared" si="1"/>
        <v>12.48</v>
      </c>
      <c r="M24" s="4">
        <f t="shared" si="2"/>
        <v>14.04</v>
      </c>
      <c r="N24" s="2">
        <v>1</v>
      </c>
      <c r="O24" s="2">
        <v>7</v>
      </c>
      <c r="P24" s="2">
        <v>1</v>
      </c>
      <c r="Q24" s="2">
        <v>2</v>
      </c>
      <c r="R24" s="2">
        <v>4.5</v>
      </c>
      <c r="S24" s="2">
        <v>90</v>
      </c>
      <c r="T24" s="13" t="s">
        <v>28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x14ac:dyDescent="0.25">
      <c r="G25" s="6"/>
    </row>
    <row r="27" spans="1:31" x14ac:dyDescent="0.25">
      <c r="A27" s="11" t="s">
        <v>59</v>
      </c>
    </row>
    <row r="28" spans="1:31" x14ac:dyDescent="0.25">
      <c r="A28" s="7" t="s">
        <v>1</v>
      </c>
      <c r="B28" s="7" t="s">
        <v>2</v>
      </c>
      <c r="C28" s="7" t="s">
        <v>3</v>
      </c>
      <c r="D28" s="7" t="s">
        <v>4</v>
      </c>
      <c r="E28" s="7" t="s">
        <v>5</v>
      </c>
      <c r="F28" s="7" t="s">
        <v>6</v>
      </c>
      <c r="G28" s="7" t="s">
        <v>7</v>
      </c>
      <c r="H28" s="7" t="s">
        <v>8</v>
      </c>
      <c r="I28" s="7" t="s">
        <v>9</v>
      </c>
      <c r="J28" s="7" t="s">
        <v>10</v>
      </c>
      <c r="K28" s="7" t="s">
        <v>11</v>
      </c>
      <c r="L28" s="7" t="s">
        <v>12</v>
      </c>
      <c r="M28" s="7" t="s">
        <v>13</v>
      </c>
      <c r="N28" s="7" t="s">
        <v>14</v>
      </c>
      <c r="O28" s="7" t="s">
        <v>15</v>
      </c>
      <c r="P28" s="7" t="s">
        <v>16</v>
      </c>
      <c r="Q28" s="7" t="s">
        <v>60</v>
      </c>
      <c r="R28" s="7" t="s">
        <v>18</v>
      </c>
      <c r="S28" s="7" t="s">
        <v>19</v>
      </c>
      <c r="T28" s="7" t="s">
        <v>20</v>
      </c>
      <c r="U28" s="8" t="s">
        <v>61</v>
      </c>
      <c r="V28" s="8" t="s">
        <v>62</v>
      </c>
      <c r="W28" s="8" t="s">
        <v>63</v>
      </c>
      <c r="X28" s="8" t="s">
        <v>117</v>
      </c>
      <c r="Y28" s="8" t="s">
        <v>64</v>
      </c>
      <c r="Z28" s="8" t="s">
        <v>65</v>
      </c>
      <c r="AA28" s="8" t="s">
        <v>66</v>
      </c>
      <c r="AB28" s="8" t="s">
        <v>67</v>
      </c>
      <c r="AC28" s="8" t="s">
        <v>68</v>
      </c>
      <c r="AD28" s="8" t="s">
        <v>69</v>
      </c>
      <c r="AE28" s="8" t="s">
        <v>70</v>
      </c>
    </row>
    <row r="29" spans="1:31" x14ac:dyDescent="0.25">
      <c r="A29" s="2" t="s">
        <v>71</v>
      </c>
      <c r="B29" s="2">
        <v>1</v>
      </c>
      <c r="C29" s="2">
        <v>1</v>
      </c>
      <c r="D29" s="2">
        <v>21</v>
      </c>
      <c r="E29" s="2">
        <v>1.72</v>
      </c>
      <c r="F29" s="2">
        <v>65</v>
      </c>
      <c r="G29" s="3">
        <f t="shared" ref="G29:G49" si="5">F29/(E29)^2</f>
        <v>21.971335857220122</v>
      </c>
      <c r="H29" s="2">
        <v>91</v>
      </c>
      <c r="I29" s="2">
        <f>H29/2</f>
        <v>45.5</v>
      </c>
      <c r="J29" s="2">
        <v>6.7</v>
      </c>
      <c r="K29" s="2">
        <v>5.63</v>
      </c>
      <c r="L29" s="4">
        <f>J29*0.8</f>
        <v>5.36</v>
      </c>
      <c r="M29" s="4">
        <f>J29*0.9</f>
        <v>6.03</v>
      </c>
      <c r="N29" s="2">
        <v>1</v>
      </c>
      <c r="O29" s="2">
        <v>7</v>
      </c>
      <c r="P29" s="2">
        <v>1</v>
      </c>
      <c r="Q29" s="2">
        <v>1</v>
      </c>
      <c r="R29" s="2">
        <v>6</v>
      </c>
      <c r="S29" s="2">
        <v>60</v>
      </c>
      <c r="T29" s="2" t="s">
        <v>72</v>
      </c>
      <c r="U29" s="2">
        <v>1</v>
      </c>
      <c r="V29" s="2" t="s">
        <v>73</v>
      </c>
      <c r="W29" s="2">
        <v>2</v>
      </c>
      <c r="X29" s="2" t="s">
        <v>74</v>
      </c>
      <c r="Y29" s="2">
        <v>2</v>
      </c>
      <c r="Z29" s="2">
        <v>2017</v>
      </c>
      <c r="AA29" s="2">
        <f>2022-Z29</f>
        <v>5</v>
      </c>
      <c r="AB29" s="2">
        <f>AA29*12</f>
        <v>60</v>
      </c>
      <c r="AC29" s="2">
        <v>1</v>
      </c>
      <c r="AD29" s="2">
        <v>9</v>
      </c>
      <c r="AE29" s="2">
        <v>45</v>
      </c>
    </row>
    <row r="30" spans="1:31" x14ac:dyDescent="0.25">
      <c r="A30" s="2" t="s">
        <v>75</v>
      </c>
      <c r="B30" s="2">
        <v>1</v>
      </c>
      <c r="C30" s="2">
        <v>1</v>
      </c>
      <c r="D30" s="2">
        <v>25</v>
      </c>
      <c r="E30" s="2">
        <v>1.62</v>
      </c>
      <c r="F30" s="2">
        <v>52</v>
      </c>
      <c r="G30" s="3">
        <f t="shared" si="5"/>
        <v>19.814052735863431</v>
      </c>
      <c r="H30" s="2">
        <v>86</v>
      </c>
      <c r="I30" s="2">
        <f t="shared" ref="I30:I49" si="6">H30/2</f>
        <v>43</v>
      </c>
      <c r="J30" s="2">
        <v>12.93</v>
      </c>
      <c r="K30" s="2">
        <v>7.56</v>
      </c>
      <c r="L30" s="4">
        <f t="shared" ref="L30:L49" si="7">J30*0.8</f>
        <v>10.344000000000001</v>
      </c>
      <c r="M30" s="4">
        <f t="shared" ref="M30:M49" si="8">J30*0.9</f>
        <v>11.637</v>
      </c>
      <c r="N30" s="2">
        <v>1</v>
      </c>
      <c r="O30" s="2">
        <v>5.33</v>
      </c>
      <c r="P30" s="2">
        <v>1</v>
      </c>
      <c r="Q30" s="2">
        <v>1</v>
      </c>
      <c r="R30" s="2">
        <v>6</v>
      </c>
      <c r="S30" s="2">
        <v>120</v>
      </c>
      <c r="T30" s="2" t="s">
        <v>73</v>
      </c>
      <c r="U30" s="2">
        <v>1</v>
      </c>
      <c r="V30" s="2" t="s">
        <v>73</v>
      </c>
      <c r="W30" s="2">
        <v>1</v>
      </c>
      <c r="X30" s="2">
        <v>2</v>
      </c>
      <c r="Y30" s="2">
        <v>1</v>
      </c>
      <c r="Z30" s="2">
        <v>2015</v>
      </c>
      <c r="AA30" s="2">
        <f>2022-Z30</f>
        <v>7</v>
      </c>
      <c r="AB30" s="2">
        <f t="shared" ref="AB30:AB49" si="9">AA30*12</f>
        <v>84</v>
      </c>
      <c r="AC30" s="2">
        <v>1</v>
      </c>
      <c r="AD30" s="2">
        <v>5</v>
      </c>
      <c r="AE30" s="2">
        <v>45</v>
      </c>
    </row>
    <row r="31" spans="1:31" x14ac:dyDescent="0.25">
      <c r="A31" s="2" t="s">
        <v>76</v>
      </c>
      <c r="B31" s="2">
        <v>1</v>
      </c>
      <c r="C31" s="2">
        <v>1</v>
      </c>
      <c r="D31" s="2">
        <v>24</v>
      </c>
      <c r="E31" s="2">
        <v>1.67</v>
      </c>
      <c r="F31" s="2">
        <v>64.5</v>
      </c>
      <c r="G31" s="3">
        <f t="shared" si="5"/>
        <v>23.127397898813154</v>
      </c>
      <c r="H31" s="2">
        <v>89</v>
      </c>
      <c r="I31" s="2">
        <f t="shared" si="6"/>
        <v>44.5</v>
      </c>
      <c r="J31" s="2">
        <v>7.1</v>
      </c>
      <c r="K31" s="2">
        <v>4.3</v>
      </c>
      <c r="L31" s="4">
        <f t="shared" si="7"/>
        <v>5.68</v>
      </c>
      <c r="M31" s="4">
        <f t="shared" si="8"/>
        <v>6.39</v>
      </c>
      <c r="N31" s="2">
        <v>0</v>
      </c>
      <c r="O31" s="2">
        <v>6.3</v>
      </c>
      <c r="P31" s="2">
        <v>1</v>
      </c>
      <c r="Q31" s="2">
        <v>1</v>
      </c>
      <c r="R31" s="2">
        <v>4</v>
      </c>
      <c r="S31" s="2">
        <v>60</v>
      </c>
      <c r="T31" s="2" t="s">
        <v>77</v>
      </c>
      <c r="U31" s="2">
        <v>1</v>
      </c>
      <c r="V31" s="2" t="s">
        <v>73</v>
      </c>
      <c r="W31" s="2">
        <v>1</v>
      </c>
      <c r="X31" s="2">
        <v>2</v>
      </c>
      <c r="Y31" s="2">
        <v>1</v>
      </c>
      <c r="Z31" s="2">
        <v>2019</v>
      </c>
      <c r="AA31" s="2">
        <f t="shared" ref="AA31:AA49" si="10">2022-Z31</f>
        <v>3</v>
      </c>
      <c r="AB31" s="2">
        <f t="shared" si="9"/>
        <v>36</v>
      </c>
      <c r="AC31" s="2">
        <v>1</v>
      </c>
      <c r="AD31" s="2">
        <v>6</v>
      </c>
      <c r="AE31" s="2">
        <v>45</v>
      </c>
    </row>
    <row r="32" spans="1:31" x14ac:dyDescent="0.25">
      <c r="A32" s="2" t="s">
        <v>78</v>
      </c>
      <c r="B32" s="2">
        <v>1</v>
      </c>
      <c r="C32" s="2">
        <v>2</v>
      </c>
      <c r="D32" s="2">
        <v>36</v>
      </c>
      <c r="E32" s="2">
        <v>1.83</v>
      </c>
      <c r="F32" s="2">
        <v>85</v>
      </c>
      <c r="G32" s="3">
        <f t="shared" si="5"/>
        <v>25.381468541909282</v>
      </c>
      <c r="H32" s="2">
        <v>98</v>
      </c>
      <c r="I32" s="2">
        <f t="shared" si="6"/>
        <v>49</v>
      </c>
      <c r="J32" s="2">
        <v>9</v>
      </c>
      <c r="K32" s="2">
        <v>4.83</v>
      </c>
      <c r="L32" s="4">
        <f t="shared" si="7"/>
        <v>7.2</v>
      </c>
      <c r="M32" s="4">
        <f t="shared" si="8"/>
        <v>8.1</v>
      </c>
      <c r="N32" s="2">
        <v>0.3</v>
      </c>
      <c r="O32" s="2">
        <v>7.3</v>
      </c>
      <c r="P32" s="2">
        <v>1</v>
      </c>
      <c r="Q32" s="2">
        <v>1</v>
      </c>
      <c r="R32" s="2">
        <v>2</v>
      </c>
      <c r="S32" s="2">
        <v>30</v>
      </c>
      <c r="T32" s="2" t="s">
        <v>79</v>
      </c>
      <c r="U32" s="2">
        <v>1</v>
      </c>
      <c r="V32" s="2" t="s">
        <v>80</v>
      </c>
      <c r="W32" s="2">
        <v>1</v>
      </c>
      <c r="X32" s="2">
        <v>3</v>
      </c>
      <c r="Y32" s="2">
        <v>1</v>
      </c>
      <c r="Z32" s="2">
        <v>2019</v>
      </c>
      <c r="AA32" s="2">
        <f t="shared" si="10"/>
        <v>3</v>
      </c>
      <c r="AB32" s="2">
        <f t="shared" si="9"/>
        <v>36</v>
      </c>
      <c r="AC32" s="2">
        <v>2</v>
      </c>
      <c r="AD32" s="2">
        <v>10</v>
      </c>
      <c r="AE32" s="2">
        <v>45</v>
      </c>
    </row>
    <row r="33" spans="1:31" x14ac:dyDescent="0.25">
      <c r="A33" s="2" t="s">
        <v>81</v>
      </c>
      <c r="B33" s="2">
        <v>1</v>
      </c>
      <c r="C33" s="2">
        <v>2</v>
      </c>
      <c r="D33" s="2">
        <v>25</v>
      </c>
      <c r="E33" s="2">
        <v>1.83</v>
      </c>
      <c r="F33" s="2">
        <v>80</v>
      </c>
      <c r="G33" s="3">
        <f t="shared" si="5"/>
        <v>23.888440980620498</v>
      </c>
      <c r="H33" s="2">
        <v>100</v>
      </c>
      <c r="I33" s="2">
        <f t="shared" si="6"/>
        <v>50</v>
      </c>
      <c r="J33" s="2">
        <v>12.2</v>
      </c>
      <c r="K33" s="2">
        <v>9.1999999999999993</v>
      </c>
      <c r="L33" s="4">
        <f t="shared" si="7"/>
        <v>9.76</v>
      </c>
      <c r="M33" s="4">
        <f t="shared" si="8"/>
        <v>10.98</v>
      </c>
      <c r="N33" s="2">
        <v>0.5</v>
      </c>
      <c r="O33" s="2">
        <v>7.66</v>
      </c>
      <c r="P33" s="2">
        <v>1</v>
      </c>
      <c r="Q33" s="2">
        <v>2</v>
      </c>
      <c r="R33" s="2">
        <v>3</v>
      </c>
      <c r="S33" s="2">
        <v>60</v>
      </c>
      <c r="T33" s="2" t="s">
        <v>82</v>
      </c>
      <c r="U33" s="2">
        <v>2</v>
      </c>
      <c r="V33" s="2" t="s">
        <v>73</v>
      </c>
      <c r="W33" s="2">
        <v>1</v>
      </c>
      <c r="X33" s="2">
        <v>2</v>
      </c>
      <c r="Y33" s="2">
        <v>2</v>
      </c>
      <c r="Z33" s="2">
        <v>2010</v>
      </c>
      <c r="AA33" s="2">
        <f t="shared" si="10"/>
        <v>12</v>
      </c>
      <c r="AB33" s="2">
        <f t="shared" si="9"/>
        <v>144</v>
      </c>
      <c r="AC33" s="2">
        <v>1</v>
      </c>
      <c r="AD33" s="2">
        <v>6</v>
      </c>
      <c r="AE33" s="2">
        <v>60</v>
      </c>
    </row>
    <row r="34" spans="1:31" x14ac:dyDescent="0.25">
      <c r="A34" s="2" t="s">
        <v>83</v>
      </c>
      <c r="B34" s="2">
        <v>1</v>
      </c>
      <c r="C34" s="2">
        <v>1</v>
      </c>
      <c r="D34" s="2">
        <v>21</v>
      </c>
      <c r="E34" s="2">
        <v>1.65</v>
      </c>
      <c r="F34" s="2">
        <v>60</v>
      </c>
      <c r="G34" s="3">
        <f t="shared" si="5"/>
        <v>22.03856749311295</v>
      </c>
      <c r="H34" s="2">
        <v>97</v>
      </c>
      <c r="I34" s="2">
        <f t="shared" si="6"/>
        <v>48.5</v>
      </c>
      <c r="J34" s="2">
        <v>8.5</v>
      </c>
      <c r="K34" s="2">
        <v>6.4</v>
      </c>
      <c r="L34" s="4">
        <f t="shared" si="7"/>
        <v>6.8000000000000007</v>
      </c>
      <c r="M34" s="4">
        <f t="shared" si="8"/>
        <v>7.65</v>
      </c>
      <c r="N34" s="2">
        <v>0.3</v>
      </c>
      <c r="O34" s="2">
        <v>5.6</v>
      </c>
      <c r="P34" s="2">
        <v>1</v>
      </c>
      <c r="Q34" s="2">
        <v>2</v>
      </c>
      <c r="R34" s="2">
        <v>5</v>
      </c>
      <c r="S34" s="2">
        <v>120</v>
      </c>
      <c r="T34" s="2" t="s">
        <v>84</v>
      </c>
      <c r="U34" s="2">
        <v>2</v>
      </c>
      <c r="V34" s="2" t="s">
        <v>85</v>
      </c>
      <c r="W34" s="2">
        <v>1</v>
      </c>
      <c r="X34" s="2">
        <v>1</v>
      </c>
      <c r="Y34" s="2">
        <v>2</v>
      </c>
      <c r="Z34" s="2">
        <v>2021</v>
      </c>
      <c r="AA34" s="2">
        <f t="shared" si="10"/>
        <v>1</v>
      </c>
      <c r="AB34" s="2">
        <f t="shared" si="9"/>
        <v>12</v>
      </c>
      <c r="AC34" s="2">
        <v>2</v>
      </c>
      <c r="AD34" s="2">
        <v>2</v>
      </c>
      <c r="AE34" s="2">
        <v>90</v>
      </c>
    </row>
    <row r="35" spans="1:31" x14ac:dyDescent="0.25">
      <c r="A35" s="2" t="s">
        <v>86</v>
      </c>
      <c r="B35" s="2">
        <v>1</v>
      </c>
      <c r="C35" s="2">
        <v>1</v>
      </c>
      <c r="D35" s="2">
        <v>25</v>
      </c>
      <c r="E35" s="2">
        <v>1.8</v>
      </c>
      <c r="F35" s="2">
        <v>62</v>
      </c>
      <c r="G35" s="3">
        <f t="shared" si="5"/>
        <v>19.1358024691358</v>
      </c>
      <c r="H35" s="2">
        <v>97</v>
      </c>
      <c r="I35" s="2">
        <f t="shared" si="6"/>
        <v>48.5</v>
      </c>
      <c r="J35" s="2">
        <v>6.4</v>
      </c>
      <c r="K35" s="2">
        <v>5.2</v>
      </c>
      <c r="L35" s="4">
        <f t="shared" si="7"/>
        <v>5.120000000000001</v>
      </c>
      <c r="M35" s="4">
        <f t="shared" si="8"/>
        <v>5.7600000000000007</v>
      </c>
      <c r="N35" s="2">
        <v>0.5</v>
      </c>
      <c r="O35" s="2">
        <v>7.3</v>
      </c>
      <c r="P35" s="2">
        <v>1</v>
      </c>
      <c r="Q35" s="2">
        <v>2</v>
      </c>
      <c r="R35" s="2">
        <v>5</v>
      </c>
      <c r="S35" s="2">
        <v>30</v>
      </c>
      <c r="T35" s="2" t="s">
        <v>79</v>
      </c>
      <c r="U35" s="2">
        <v>2</v>
      </c>
      <c r="V35" s="2" t="s">
        <v>87</v>
      </c>
      <c r="W35" s="2">
        <v>1</v>
      </c>
      <c r="X35" s="2">
        <v>2</v>
      </c>
      <c r="Y35" s="2">
        <v>2</v>
      </c>
      <c r="Z35" s="2">
        <v>2017</v>
      </c>
      <c r="AA35" s="2">
        <f t="shared" si="10"/>
        <v>5</v>
      </c>
      <c r="AB35" s="2">
        <f t="shared" si="9"/>
        <v>60</v>
      </c>
      <c r="AC35" s="2">
        <v>1</v>
      </c>
      <c r="AD35" s="2">
        <v>6</v>
      </c>
      <c r="AE35" s="2">
        <v>40</v>
      </c>
    </row>
    <row r="36" spans="1:31" x14ac:dyDescent="0.25">
      <c r="A36" s="2" t="s">
        <v>88</v>
      </c>
      <c r="B36" s="2">
        <v>1</v>
      </c>
      <c r="C36" s="2">
        <v>2</v>
      </c>
      <c r="D36" s="2">
        <v>26</v>
      </c>
      <c r="E36" s="2">
        <v>1.78</v>
      </c>
      <c r="F36" s="2">
        <v>74</v>
      </c>
      <c r="G36" s="3">
        <f t="shared" si="5"/>
        <v>23.355636914530994</v>
      </c>
      <c r="H36" s="2">
        <v>92</v>
      </c>
      <c r="I36" s="2">
        <f t="shared" si="6"/>
        <v>46</v>
      </c>
      <c r="J36" s="2">
        <v>13.9</v>
      </c>
      <c r="K36" s="2">
        <v>12.3</v>
      </c>
      <c r="L36" s="4">
        <f t="shared" si="7"/>
        <v>11.120000000000001</v>
      </c>
      <c r="M36" s="4">
        <f t="shared" si="8"/>
        <v>12.51</v>
      </c>
      <c r="N36" s="2">
        <v>0</v>
      </c>
      <c r="O36" s="2">
        <v>5.6</v>
      </c>
      <c r="P36" s="2">
        <v>1</v>
      </c>
      <c r="Q36" s="2">
        <v>1</v>
      </c>
      <c r="R36" s="2">
        <v>4.5</v>
      </c>
      <c r="S36" s="2">
        <v>45</v>
      </c>
      <c r="T36" s="2" t="s">
        <v>28</v>
      </c>
      <c r="U36" s="2">
        <v>1</v>
      </c>
      <c r="V36" s="2" t="s">
        <v>87</v>
      </c>
      <c r="W36" s="2">
        <v>1</v>
      </c>
      <c r="X36" s="2">
        <v>2</v>
      </c>
      <c r="Y36" s="2">
        <v>2</v>
      </c>
      <c r="Z36" s="2">
        <v>2020</v>
      </c>
      <c r="AA36" s="2">
        <f t="shared" si="10"/>
        <v>2</v>
      </c>
      <c r="AB36" s="2">
        <f t="shared" si="9"/>
        <v>24</v>
      </c>
      <c r="AC36" s="2">
        <v>1</v>
      </c>
      <c r="AD36" s="2">
        <v>18</v>
      </c>
      <c r="AE36" s="2">
        <v>40</v>
      </c>
    </row>
    <row r="37" spans="1:31" x14ac:dyDescent="0.25">
      <c r="A37" s="2" t="s">
        <v>89</v>
      </c>
      <c r="B37" s="2">
        <v>1</v>
      </c>
      <c r="C37" s="2">
        <v>1</v>
      </c>
      <c r="D37" s="2">
        <v>29</v>
      </c>
      <c r="E37" s="2">
        <v>1.58</v>
      </c>
      <c r="F37" s="2">
        <v>54</v>
      </c>
      <c r="G37" s="3">
        <f t="shared" si="5"/>
        <v>21.631148854350261</v>
      </c>
      <c r="H37" s="2">
        <v>84</v>
      </c>
      <c r="I37" s="2">
        <f t="shared" si="6"/>
        <v>42</v>
      </c>
      <c r="J37" s="2">
        <v>12.9</v>
      </c>
      <c r="K37" s="2">
        <v>11.16</v>
      </c>
      <c r="L37" s="4">
        <f t="shared" si="7"/>
        <v>10.32</v>
      </c>
      <c r="M37" s="4">
        <f t="shared" si="8"/>
        <v>11.610000000000001</v>
      </c>
      <c r="N37" s="2">
        <v>0.5</v>
      </c>
      <c r="O37" s="2">
        <v>5</v>
      </c>
      <c r="P37" s="2">
        <v>1</v>
      </c>
      <c r="Q37" s="2">
        <v>2</v>
      </c>
      <c r="R37" s="2">
        <v>6</v>
      </c>
      <c r="S37" s="2">
        <v>90</v>
      </c>
      <c r="T37" s="2" t="s">
        <v>90</v>
      </c>
      <c r="U37" s="2">
        <v>2</v>
      </c>
      <c r="V37" s="2" t="s">
        <v>87</v>
      </c>
      <c r="W37" s="2">
        <v>1</v>
      </c>
      <c r="X37" s="2">
        <v>2</v>
      </c>
      <c r="Y37" s="2">
        <v>2</v>
      </c>
      <c r="Z37" s="2">
        <v>2019</v>
      </c>
      <c r="AA37" s="2">
        <f t="shared" si="10"/>
        <v>3</v>
      </c>
      <c r="AB37" s="2">
        <f t="shared" si="9"/>
        <v>36</v>
      </c>
      <c r="AC37" s="2">
        <v>1</v>
      </c>
      <c r="AD37" s="2">
        <v>9</v>
      </c>
      <c r="AE37" s="2">
        <v>45</v>
      </c>
    </row>
    <row r="38" spans="1:31" x14ac:dyDescent="0.25">
      <c r="A38" s="2" t="s">
        <v>91</v>
      </c>
      <c r="B38" s="2">
        <v>1</v>
      </c>
      <c r="C38" s="2">
        <v>2</v>
      </c>
      <c r="D38" s="2">
        <v>25</v>
      </c>
      <c r="E38" s="2">
        <v>1.8</v>
      </c>
      <c r="F38" s="2">
        <v>80</v>
      </c>
      <c r="G38" s="3">
        <f t="shared" si="5"/>
        <v>24.691358024691358</v>
      </c>
      <c r="H38" s="2">
        <v>99</v>
      </c>
      <c r="I38" s="2">
        <f t="shared" si="6"/>
        <v>49.5</v>
      </c>
      <c r="J38" s="2">
        <v>20.100000000000001</v>
      </c>
      <c r="K38" s="2">
        <v>15</v>
      </c>
      <c r="L38" s="4">
        <f t="shared" si="7"/>
        <v>16.080000000000002</v>
      </c>
      <c r="M38" s="4">
        <f t="shared" si="8"/>
        <v>18.090000000000003</v>
      </c>
      <c r="N38" s="2">
        <v>0</v>
      </c>
      <c r="O38" s="2">
        <v>7.6</v>
      </c>
      <c r="P38" s="2">
        <v>1</v>
      </c>
      <c r="Q38" s="2">
        <v>2</v>
      </c>
      <c r="R38" s="2">
        <v>6</v>
      </c>
      <c r="S38" s="2">
        <v>90</v>
      </c>
      <c r="T38" s="2" t="s">
        <v>37</v>
      </c>
      <c r="U38" s="2">
        <v>2</v>
      </c>
      <c r="V38" s="2" t="s">
        <v>92</v>
      </c>
      <c r="W38" s="2">
        <v>2</v>
      </c>
      <c r="X38" s="2" t="s">
        <v>74</v>
      </c>
      <c r="Y38" s="2">
        <v>2</v>
      </c>
      <c r="Z38" s="2">
        <v>2018</v>
      </c>
      <c r="AA38" s="2">
        <f t="shared" si="10"/>
        <v>4</v>
      </c>
      <c r="AB38" s="2">
        <f t="shared" si="9"/>
        <v>48</v>
      </c>
      <c r="AC38" s="2">
        <v>1</v>
      </c>
      <c r="AD38" s="2">
        <v>6</v>
      </c>
      <c r="AE38" s="2">
        <v>60</v>
      </c>
    </row>
    <row r="39" spans="1:31" x14ac:dyDescent="0.25">
      <c r="A39" s="2" t="s">
        <v>93</v>
      </c>
      <c r="B39" s="2">
        <v>1</v>
      </c>
      <c r="C39" s="2">
        <v>1</v>
      </c>
      <c r="D39" s="2">
        <v>27</v>
      </c>
      <c r="E39" s="2">
        <v>1.7</v>
      </c>
      <c r="F39" s="2">
        <v>67</v>
      </c>
      <c r="G39" s="3">
        <f t="shared" si="5"/>
        <v>23.183391003460208</v>
      </c>
      <c r="H39" s="2">
        <v>93</v>
      </c>
      <c r="I39" s="2">
        <f t="shared" si="6"/>
        <v>46.5</v>
      </c>
      <c r="J39" s="2">
        <v>10.3</v>
      </c>
      <c r="K39" s="2">
        <v>8.1</v>
      </c>
      <c r="L39" s="4">
        <f t="shared" si="7"/>
        <v>8.24</v>
      </c>
      <c r="M39" s="4">
        <f t="shared" si="8"/>
        <v>9.2700000000000014</v>
      </c>
      <c r="N39" s="2">
        <v>1.5</v>
      </c>
      <c r="O39" s="2">
        <v>5</v>
      </c>
      <c r="P39" s="2">
        <v>1</v>
      </c>
      <c r="Q39" s="2">
        <v>2</v>
      </c>
      <c r="R39" s="2">
        <v>6</v>
      </c>
      <c r="S39" s="2">
        <v>120</v>
      </c>
      <c r="T39" s="2" t="s">
        <v>94</v>
      </c>
      <c r="U39" s="2">
        <v>2</v>
      </c>
      <c r="V39" s="2" t="s">
        <v>95</v>
      </c>
      <c r="W39" s="2">
        <v>1</v>
      </c>
      <c r="X39" s="2">
        <v>2</v>
      </c>
      <c r="Y39" s="2">
        <v>2</v>
      </c>
      <c r="Z39" s="2">
        <v>2018</v>
      </c>
      <c r="AA39" s="2">
        <f t="shared" si="10"/>
        <v>4</v>
      </c>
      <c r="AB39" s="2">
        <f t="shared" si="9"/>
        <v>48</v>
      </c>
      <c r="AC39" s="2">
        <v>1</v>
      </c>
      <c r="AD39" s="2">
        <v>6</v>
      </c>
      <c r="AE39" s="2">
        <v>30</v>
      </c>
    </row>
    <row r="40" spans="1:31" x14ac:dyDescent="0.25">
      <c r="A40" s="2" t="s">
        <v>96</v>
      </c>
      <c r="B40" s="2">
        <v>1</v>
      </c>
      <c r="C40" s="2">
        <v>1</v>
      </c>
      <c r="D40" s="2">
        <v>20</v>
      </c>
      <c r="E40" s="2">
        <v>1.72</v>
      </c>
      <c r="F40" s="2">
        <v>62</v>
      </c>
      <c r="G40" s="3">
        <f t="shared" si="5"/>
        <v>20.957274202271499</v>
      </c>
      <c r="H40" s="2">
        <v>93</v>
      </c>
      <c r="I40" s="2">
        <f t="shared" si="6"/>
        <v>46.5</v>
      </c>
      <c r="J40" s="2">
        <v>6.9</v>
      </c>
      <c r="K40" s="2">
        <v>5.6</v>
      </c>
      <c r="L40" s="4">
        <f t="shared" si="7"/>
        <v>5.5200000000000005</v>
      </c>
      <c r="M40" s="4">
        <f t="shared" si="8"/>
        <v>6.2100000000000009</v>
      </c>
      <c r="N40" s="2">
        <v>0.3</v>
      </c>
      <c r="O40" s="2">
        <v>6.3</v>
      </c>
      <c r="P40" s="2">
        <v>1</v>
      </c>
      <c r="Q40" s="2">
        <v>2</v>
      </c>
      <c r="R40" s="2">
        <v>3</v>
      </c>
      <c r="S40" s="2">
        <v>120</v>
      </c>
      <c r="T40" s="2" t="s">
        <v>97</v>
      </c>
      <c r="U40" s="2">
        <v>2</v>
      </c>
      <c r="V40" s="2" t="s">
        <v>73</v>
      </c>
      <c r="W40" s="2">
        <v>1</v>
      </c>
      <c r="X40" s="2">
        <v>1</v>
      </c>
      <c r="Y40" s="2">
        <v>2</v>
      </c>
      <c r="Z40" s="2">
        <v>2018</v>
      </c>
      <c r="AA40" s="2">
        <f t="shared" si="10"/>
        <v>4</v>
      </c>
      <c r="AB40" s="2">
        <f t="shared" si="9"/>
        <v>48</v>
      </c>
      <c r="AC40" s="2">
        <v>1</v>
      </c>
      <c r="AD40" s="2">
        <v>3</v>
      </c>
      <c r="AE40" s="2">
        <v>60</v>
      </c>
    </row>
    <row r="41" spans="1:31" x14ac:dyDescent="0.25">
      <c r="A41" s="2" t="s">
        <v>98</v>
      </c>
      <c r="B41" s="2">
        <v>1</v>
      </c>
      <c r="C41" s="2">
        <v>1</v>
      </c>
      <c r="D41" s="2">
        <v>26</v>
      </c>
      <c r="E41" s="2">
        <v>1.65</v>
      </c>
      <c r="F41" s="2">
        <v>60</v>
      </c>
      <c r="G41" s="3">
        <f t="shared" si="5"/>
        <v>22.03856749311295</v>
      </c>
      <c r="H41" s="2">
        <v>90</v>
      </c>
      <c r="I41" s="2">
        <f t="shared" si="6"/>
        <v>45</v>
      </c>
      <c r="J41" s="2">
        <v>11.8</v>
      </c>
      <c r="K41" s="2">
        <v>8.3000000000000007</v>
      </c>
      <c r="L41" s="4">
        <f t="shared" si="7"/>
        <v>9.4400000000000013</v>
      </c>
      <c r="M41" s="4">
        <f t="shared" si="8"/>
        <v>10.620000000000001</v>
      </c>
      <c r="N41" s="2">
        <v>0</v>
      </c>
      <c r="O41" s="2">
        <v>5.3</v>
      </c>
      <c r="P41" s="2">
        <v>1</v>
      </c>
      <c r="Q41" s="2">
        <v>2</v>
      </c>
      <c r="R41" s="2">
        <v>4</v>
      </c>
      <c r="S41" s="2">
        <v>90</v>
      </c>
      <c r="T41" s="2" t="s">
        <v>99</v>
      </c>
      <c r="U41" s="2">
        <v>2</v>
      </c>
      <c r="V41" s="2" t="s">
        <v>73</v>
      </c>
      <c r="W41" s="2">
        <v>1</v>
      </c>
      <c r="X41" s="2">
        <v>1</v>
      </c>
      <c r="Y41" s="2">
        <v>2</v>
      </c>
      <c r="Z41" s="2">
        <v>2015</v>
      </c>
      <c r="AA41" s="2">
        <f t="shared" si="10"/>
        <v>7</v>
      </c>
      <c r="AB41" s="2">
        <f t="shared" si="9"/>
        <v>84</v>
      </c>
      <c r="AC41" s="2">
        <v>1</v>
      </c>
      <c r="AD41" s="2">
        <v>9</v>
      </c>
      <c r="AE41" s="2">
        <v>60</v>
      </c>
    </row>
    <row r="42" spans="1:31" x14ac:dyDescent="0.25">
      <c r="A42" s="2" t="s">
        <v>100</v>
      </c>
      <c r="B42" s="2">
        <v>1</v>
      </c>
      <c r="C42" s="2">
        <v>1</v>
      </c>
      <c r="D42" s="2">
        <v>22</v>
      </c>
      <c r="E42" s="2">
        <v>1.65</v>
      </c>
      <c r="F42" s="2">
        <v>59</v>
      </c>
      <c r="G42" s="3">
        <f t="shared" si="5"/>
        <v>21.6712580348944</v>
      </c>
      <c r="H42" s="2">
        <v>87</v>
      </c>
      <c r="I42" s="2">
        <f t="shared" si="6"/>
        <v>43.5</v>
      </c>
      <c r="J42" s="2">
        <v>6.8</v>
      </c>
      <c r="K42" s="2">
        <v>5.2</v>
      </c>
      <c r="L42" s="4">
        <f t="shared" si="7"/>
        <v>5.44</v>
      </c>
      <c r="M42" s="4">
        <f t="shared" si="8"/>
        <v>6.12</v>
      </c>
      <c r="N42" s="2">
        <v>1</v>
      </c>
      <c r="O42" s="2">
        <v>4</v>
      </c>
      <c r="P42" s="2">
        <v>1</v>
      </c>
      <c r="Q42" s="2">
        <v>1</v>
      </c>
      <c r="R42" s="2">
        <v>6</v>
      </c>
      <c r="S42" s="2">
        <v>120</v>
      </c>
      <c r="T42" s="2" t="s">
        <v>101</v>
      </c>
      <c r="U42" s="2">
        <v>1</v>
      </c>
      <c r="V42" s="2" t="s">
        <v>73</v>
      </c>
      <c r="W42" s="2">
        <v>1</v>
      </c>
      <c r="X42" s="2">
        <v>3</v>
      </c>
      <c r="Y42" s="2">
        <v>2</v>
      </c>
      <c r="Z42" s="2">
        <v>2020</v>
      </c>
      <c r="AA42" s="2">
        <f t="shared" si="10"/>
        <v>2</v>
      </c>
      <c r="AB42" s="2">
        <f t="shared" si="9"/>
        <v>24</v>
      </c>
      <c r="AC42" s="2">
        <v>1</v>
      </c>
      <c r="AD42" s="2">
        <v>3</v>
      </c>
      <c r="AE42" s="2">
        <v>45</v>
      </c>
    </row>
    <row r="43" spans="1:31" x14ac:dyDescent="0.25">
      <c r="A43" s="2" t="s">
        <v>102</v>
      </c>
      <c r="B43" s="2">
        <v>1</v>
      </c>
      <c r="C43" s="2">
        <v>1</v>
      </c>
      <c r="D43" s="2">
        <v>23</v>
      </c>
      <c r="E43" s="2">
        <v>1.7</v>
      </c>
      <c r="F43" s="2">
        <v>63</v>
      </c>
      <c r="G43" s="3">
        <f t="shared" si="5"/>
        <v>21.79930795847751</v>
      </c>
      <c r="H43" s="2">
        <v>98</v>
      </c>
      <c r="I43" s="2">
        <f t="shared" si="6"/>
        <v>49</v>
      </c>
      <c r="J43" s="2">
        <v>8</v>
      </c>
      <c r="K43" s="2">
        <v>7.1</v>
      </c>
      <c r="L43" s="4">
        <f t="shared" si="7"/>
        <v>6.4</v>
      </c>
      <c r="M43" s="4">
        <f t="shared" si="8"/>
        <v>7.2</v>
      </c>
      <c r="N43" s="2">
        <v>0</v>
      </c>
      <c r="O43" s="2">
        <v>5.3</v>
      </c>
      <c r="P43" s="2">
        <v>2</v>
      </c>
      <c r="Q43" s="2">
        <v>1</v>
      </c>
      <c r="R43" s="2">
        <v>5</v>
      </c>
      <c r="S43" s="2">
        <v>90</v>
      </c>
      <c r="T43" s="2" t="s">
        <v>103</v>
      </c>
      <c r="U43" s="2">
        <v>1</v>
      </c>
      <c r="V43" s="2" t="s">
        <v>104</v>
      </c>
      <c r="W43" s="2">
        <v>1</v>
      </c>
      <c r="X43" s="2">
        <v>2</v>
      </c>
      <c r="Y43" s="2">
        <v>1</v>
      </c>
      <c r="Z43" s="2">
        <v>2018</v>
      </c>
      <c r="AA43" s="2">
        <f t="shared" si="10"/>
        <v>4</v>
      </c>
      <c r="AB43" s="2">
        <f t="shared" si="9"/>
        <v>48</v>
      </c>
      <c r="AC43" s="2">
        <v>1</v>
      </c>
      <c r="AD43" s="2">
        <v>12</v>
      </c>
      <c r="AE43" s="2">
        <v>60</v>
      </c>
    </row>
    <row r="44" spans="1:31" x14ac:dyDescent="0.25">
      <c r="A44" s="9" t="s">
        <v>105</v>
      </c>
      <c r="B44" s="9">
        <v>1</v>
      </c>
      <c r="C44" s="9">
        <v>2</v>
      </c>
      <c r="D44" s="9">
        <v>21</v>
      </c>
      <c r="E44" s="9">
        <v>1.88</v>
      </c>
      <c r="F44" s="9">
        <v>86</v>
      </c>
      <c r="G44" s="10">
        <f t="shared" si="5"/>
        <v>24.332277048438208</v>
      </c>
      <c r="H44" s="9">
        <v>103</v>
      </c>
      <c r="I44" s="9">
        <f t="shared" si="6"/>
        <v>51.5</v>
      </c>
      <c r="J44" s="9">
        <v>16.3</v>
      </c>
      <c r="K44" s="9">
        <v>11.8</v>
      </c>
      <c r="L44" s="4">
        <f t="shared" si="7"/>
        <v>13.040000000000001</v>
      </c>
      <c r="M44" s="4">
        <f t="shared" si="8"/>
        <v>14.670000000000002</v>
      </c>
      <c r="N44" s="9">
        <v>0</v>
      </c>
      <c r="O44" s="9">
        <v>5.6</v>
      </c>
      <c r="P44" s="9">
        <v>1</v>
      </c>
      <c r="Q44" s="9">
        <v>1</v>
      </c>
      <c r="R44" s="9">
        <v>7</v>
      </c>
      <c r="S44" s="9">
        <v>90</v>
      </c>
      <c r="T44" s="9" t="s">
        <v>106</v>
      </c>
      <c r="U44" s="9">
        <v>1</v>
      </c>
      <c r="V44" s="9" t="s">
        <v>73</v>
      </c>
      <c r="W44" s="9">
        <v>1</v>
      </c>
      <c r="X44" s="9">
        <v>2</v>
      </c>
      <c r="Y44" s="9">
        <v>1</v>
      </c>
      <c r="Z44" s="9">
        <v>2020</v>
      </c>
      <c r="AA44" s="9">
        <f t="shared" si="10"/>
        <v>2</v>
      </c>
      <c r="AB44" s="9">
        <f t="shared" si="9"/>
        <v>24</v>
      </c>
      <c r="AC44" s="9">
        <v>1</v>
      </c>
      <c r="AD44" s="9">
        <v>12</v>
      </c>
      <c r="AE44" s="9">
        <v>60</v>
      </c>
    </row>
    <row r="45" spans="1:31" x14ac:dyDescent="0.25">
      <c r="A45" s="2" t="s">
        <v>107</v>
      </c>
      <c r="B45" s="2">
        <v>1</v>
      </c>
      <c r="C45" s="2">
        <v>2</v>
      </c>
      <c r="D45" s="2">
        <v>23</v>
      </c>
      <c r="E45" s="2">
        <v>1.81</v>
      </c>
      <c r="F45" s="2">
        <v>72</v>
      </c>
      <c r="G45" s="3">
        <f t="shared" si="5"/>
        <v>21.977351118708221</v>
      </c>
      <c r="H45" s="2">
        <v>99</v>
      </c>
      <c r="I45" s="2">
        <f t="shared" si="6"/>
        <v>49.5</v>
      </c>
      <c r="J45" s="2">
        <v>12.7</v>
      </c>
      <c r="K45" s="2">
        <v>10.7</v>
      </c>
      <c r="L45" s="4">
        <f t="shared" si="7"/>
        <v>10.16</v>
      </c>
      <c r="M45" s="4">
        <f t="shared" si="8"/>
        <v>11.43</v>
      </c>
      <c r="N45" s="2">
        <v>0.5</v>
      </c>
      <c r="O45" s="2">
        <v>5.3</v>
      </c>
      <c r="P45" s="2">
        <v>1</v>
      </c>
      <c r="Q45" s="2">
        <v>2</v>
      </c>
      <c r="R45" s="2">
        <v>4</v>
      </c>
      <c r="S45" s="2">
        <v>165</v>
      </c>
      <c r="T45" s="2" t="s">
        <v>108</v>
      </c>
      <c r="U45" s="2">
        <v>2</v>
      </c>
      <c r="V45" s="2" t="s">
        <v>109</v>
      </c>
      <c r="W45" s="2">
        <v>1</v>
      </c>
      <c r="X45" s="2">
        <v>3</v>
      </c>
      <c r="Y45" s="2">
        <v>2</v>
      </c>
      <c r="Z45" s="2">
        <v>2020</v>
      </c>
      <c r="AA45" s="2">
        <f t="shared" si="10"/>
        <v>2</v>
      </c>
      <c r="AB45" s="2">
        <f t="shared" si="9"/>
        <v>24</v>
      </c>
      <c r="AC45" s="2">
        <v>1</v>
      </c>
      <c r="AD45" s="2">
        <v>12</v>
      </c>
      <c r="AE45" s="2">
        <v>60</v>
      </c>
    </row>
    <row r="46" spans="1:31" x14ac:dyDescent="0.25">
      <c r="A46" s="2" t="s">
        <v>110</v>
      </c>
      <c r="B46" s="2">
        <v>1</v>
      </c>
      <c r="C46" s="2">
        <v>2</v>
      </c>
      <c r="D46" s="2">
        <v>22</v>
      </c>
      <c r="E46" s="2">
        <v>1.8</v>
      </c>
      <c r="F46" s="2">
        <v>70</v>
      </c>
      <c r="G46" s="3">
        <f t="shared" si="5"/>
        <v>21.604938271604937</v>
      </c>
      <c r="H46" s="2">
        <v>98</v>
      </c>
      <c r="I46" s="2">
        <f t="shared" si="6"/>
        <v>49</v>
      </c>
      <c r="J46" s="2">
        <v>12.5</v>
      </c>
      <c r="K46" s="2">
        <v>10.4</v>
      </c>
      <c r="L46" s="4">
        <f t="shared" si="7"/>
        <v>10</v>
      </c>
      <c r="M46" s="4">
        <f t="shared" si="8"/>
        <v>11.25</v>
      </c>
      <c r="N46" s="2">
        <v>1</v>
      </c>
      <c r="O46" s="2">
        <v>6</v>
      </c>
      <c r="P46" s="2">
        <v>1</v>
      </c>
      <c r="Q46" s="2">
        <v>2</v>
      </c>
      <c r="R46" s="2">
        <v>5</v>
      </c>
      <c r="S46" s="2">
        <v>90</v>
      </c>
      <c r="T46" s="2" t="s">
        <v>24</v>
      </c>
      <c r="U46" s="2">
        <v>2</v>
      </c>
      <c r="V46" s="2" t="s">
        <v>37</v>
      </c>
      <c r="W46" s="2">
        <v>1</v>
      </c>
      <c r="X46" s="2">
        <v>2</v>
      </c>
      <c r="Y46" s="2">
        <v>1</v>
      </c>
      <c r="Z46" s="2">
        <v>2019</v>
      </c>
      <c r="AA46" s="2">
        <f t="shared" si="10"/>
        <v>3</v>
      </c>
      <c r="AB46" s="2">
        <f t="shared" si="9"/>
        <v>36</v>
      </c>
      <c r="AC46" s="2">
        <v>1</v>
      </c>
      <c r="AD46" s="2">
        <v>6</v>
      </c>
      <c r="AE46" s="2">
        <v>45</v>
      </c>
    </row>
    <row r="47" spans="1:31" x14ac:dyDescent="0.25">
      <c r="A47" s="2" t="s">
        <v>111</v>
      </c>
      <c r="B47" s="2">
        <v>1</v>
      </c>
      <c r="C47" s="2">
        <v>2</v>
      </c>
      <c r="D47" s="2">
        <v>22</v>
      </c>
      <c r="E47" s="2">
        <v>1.85</v>
      </c>
      <c r="F47" s="2">
        <v>80</v>
      </c>
      <c r="G47" s="3">
        <f t="shared" si="5"/>
        <v>23.374726077428779</v>
      </c>
      <c r="H47" s="2">
        <v>99</v>
      </c>
      <c r="I47" s="2">
        <f t="shared" si="6"/>
        <v>49.5</v>
      </c>
      <c r="J47" s="2">
        <v>23.2</v>
      </c>
      <c r="K47" s="2">
        <v>20.3</v>
      </c>
      <c r="L47" s="4">
        <f t="shared" si="7"/>
        <v>18.559999999999999</v>
      </c>
      <c r="M47" s="4">
        <f t="shared" si="8"/>
        <v>20.88</v>
      </c>
      <c r="N47" s="2">
        <v>2</v>
      </c>
      <c r="O47" s="2">
        <v>6</v>
      </c>
      <c r="P47" s="2">
        <v>1</v>
      </c>
      <c r="Q47" s="2">
        <v>1</v>
      </c>
      <c r="R47" s="2">
        <v>4</v>
      </c>
      <c r="S47" s="2">
        <v>120</v>
      </c>
      <c r="T47" s="2" t="s">
        <v>87</v>
      </c>
      <c r="U47" s="2">
        <v>1</v>
      </c>
      <c r="V47" s="2" t="s">
        <v>112</v>
      </c>
      <c r="W47" s="2">
        <v>1</v>
      </c>
      <c r="X47" s="2">
        <v>3</v>
      </c>
      <c r="Y47" s="2">
        <v>1</v>
      </c>
      <c r="Z47" s="2">
        <v>2021</v>
      </c>
      <c r="AA47" s="2">
        <f t="shared" si="10"/>
        <v>1</v>
      </c>
      <c r="AB47" s="2">
        <f t="shared" si="9"/>
        <v>12</v>
      </c>
      <c r="AC47" s="2">
        <v>1</v>
      </c>
      <c r="AD47" s="2">
        <v>12</v>
      </c>
      <c r="AE47" s="2">
        <v>45</v>
      </c>
    </row>
    <row r="48" spans="1:31" x14ac:dyDescent="0.25">
      <c r="A48" s="2" t="s">
        <v>113</v>
      </c>
      <c r="B48" s="2">
        <v>1</v>
      </c>
      <c r="C48" s="2">
        <v>2</v>
      </c>
      <c r="D48" s="2">
        <v>22</v>
      </c>
      <c r="E48" s="2">
        <v>1.84</v>
      </c>
      <c r="F48" s="2">
        <v>85</v>
      </c>
      <c r="G48" s="3">
        <f t="shared" si="5"/>
        <v>25.10633270321361</v>
      </c>
      <c r="H48" s="2">
        <v>98</v>
      </c>
      <c r="I48" s="2">
        <f t="shared" si="6"/>
        <v>49</v>
      </c>
      <c r="J48" s="2">
        <v>13.4</v>
      </c>
      <c r="K48" s="2">
        <v>9.6</v>
      </c>
      <c r="L48" s="4">
        <f t="shared" si="7"/>
        <v>10.72</v>
      </c>
      <c r="M48" s="4">
        <f t="shared" si="8"/>
        <v>12.06</v>
      </c>
      <c r="N48" s="2">
        <v>1</v>
      </c>
      <c r="O48" s="2">
        <v>7</v>
      </c>
      <c r="P48" s="2">
        <v>2</v>
      </c>
      <c r="Q48" s="2">
        <v>1</v>
      </c>
      <c r="R48" s="2">
        <v>4.5</v>
      </c>
      <c r="S48" s="2">
        <v>75</v>
      </c>
      <c r="T48" s="2" t="s">
        <v>24</v>
      </c>
      <c r="U48" s="2">
        <v>1</v>
      </c>
      <c r="V48" s="2" t="s">
        <v>114</v>
      </c>
      <c r="W48" s="2">
        <v>1</v>
      </c>
      <c r="X48" s="2">
        <v>2</v>
      </c>
      <c r="Y48" s="2">
        <v>1</v>
      </c>
      <c r="Z48" s="2">
        <v>2019</v>
      </c>
      <c r="AA48" s="2">
        <f t="shared" si="10"/>
        <v>3</v>
      </c>
      <c r="AB48" s="2">
        <f t="shared" si="9"/>
        <v>36</v>
      </c>
      <c r="AC48" s="2">
        <v>2</v>
      </c>
      <c r="AD48" s="2">
        <v>9</v>
      </c>
      <c r="AE48" s="2">
        <v>50</v>
      </c>
    </row>
    <row r="49" spans="1:31" x14ac:dyDescent="0.25">
      <c r="A49" s="2" t="s">
        <v>115</v>
      </c>
      <c r="B49" s="2">
        <v>1</v>
      </c>
      <c r="C49" s="2">
        <v>2</v>
      </c>
      <c r="D49" s="2">
        <v>24</v>
      </c>
      <c r="E49" s="2">
        <v>1.84</v>
      </c>
      <c r="F49" s="2">
        <v>82</v>
      </c>
      <c r="G49" s="3">
        <f t="shared" si="5"/>
        <v>24.220226843100189</v>
      </c>
      <c r="H49" s="2">
        <v>104</v>
      </c>
      <c r="I49" s="2">
        <f t="shared" si="6"/>
        <v>52</v>
      </c>
      <c r="J49" s="2">
        <v>14.7</v>
      </c>
      <c r="K49" s="2">
        <v>9.8000000000000007</v>
      </c>
      <c r="L49" s="4">
        <f t="shared" si="7"/>
        <v>11.76</v>
      </c>
      <c r="M49" s="4">
        <f t="shared" si="8"/>
        <v>13.23</v>
      </c>
      <c r="N49" s="2">
        <v>1</v>
      </c>
      <c r="O49" s="2">
        <v>6.3</v>
      </c>
      <c r="P49" s="2">
        <v>1</v>
      </c>
      <c r="Q49" s="2">
        <v>1</v>
      </c>
      <c r="R49" s="2">
        <v>6</v>
      </c>
      <c r="S49" s="2">
        <v>90</v>
      </c>
      <c r="T49" s="2" t="s">
        <v>116</v>
      </c>
      <c r="U49" s="2">
        <v>1</v>
      </c>
      <c r="V49" s="2" t="s">
        <v>37</v>
      </c>
      <c r="W49" s="2">
        <v>1</v>
      </c>
      <c r="X49" s="2">
        <v>2</v>
      </c>
      <c r="Y49" s="2">
        <v>1</v>
      </c>
      <c r="Z49" s="2">
        <v>2017</v>
      </c>
      <c r="AA49" s="2">
        <f t="shared" si="10"/>
        <v>5</v>
      </c>
      <c r="AB49" s="2">
        <f t="shared" si="9"/>
        <v>60</v>
      </c>
      <c r="AC49" s="2">
        <v>1</v>
      </c>
      <c r="AD49" s="2">
        <v>6</v>
      </c>
      <c r="AE49" s="2">
        <v>45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 Maite - Sportwissenschaft</dc:creator>
  <cp:lastModifiedBy>Calisti Maite - Sportwissenschaft</cp:lastModifiedBy>
  <dcterms:created xsi:type="dcterms:W3CDTF">2025-04-22T07:59:02Z</dcterms:created>
  <dcterms:modified xsi:type="dcterms:W3CDTF">2025-04-24T11:34:39Z</dcterms:modified>
</cp:coreProperties>
</file>